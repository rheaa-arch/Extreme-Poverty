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 LAPTOP\Downloads\rere\da\pip\"/>
    </mc:Choice>
  </mc:AlternateContent>
  <xr:revisionPtr revIDLastSave="0" documentId="13_ncr:1_{3F1D034E-71D7-4085-B2E4-E41E22AAC18E}" xr6:coauthVersionLast="47" xr6:coauthVersionMax="47" xr10:uidLastSave="{00000000-0000-0000-0000-000000000000}"/>
  <bookViews>
    <workbookView xWindow="-110" yWindow="-110" windowWidth="19420" windowHeight="11020" activeTab="3" xr2:uid="{00000000-000D-0000-FFFF-FFFF00000000}"/>
  </bookViews>
  <sheets>
    <sheet name="pip_spr" sheetId="1" r:id="rId1"/>
    <sheet name="data" sheetId="2" r:id="rId2"/>
    <sheet name="pivot" sheetId="3" r:id="rId3"/>
    <sheet name="dashboard" sheetId="4" r:id="rId4"/>
  </sheets>
  <definedNames>
    <definedName name="ExternalData_1" localSheetId="1" hidden="1">data!$A$1:$K$59</definedName>
    <definedName name="Slicer_welfare_type">#N/A</definedName>
    <definedName name="Slicer_years">#N/A</definedName>
  </definedNames>
  <calcPr calcId="18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<sst xmlns="http://schemas.openxmlformats.org/spreadsheetml/2006/main" count="542" uniqueCount="42">
  <si>
    <t>region</t>
  </si>
  <si>
    <t>years</t>
  </si>
  <si>
    <t>total_spr</t>
  </si>
  <si>
    <t>East Asia &amp; Pacific</t>
  </si>
  <si>
    <t>Europe &amp; Central Asia</t>
  </si>
  <si>
    <t>Latin America &amp; Caribbean</t>
  </si>
  <si>
    <t>Middle East &amp; North Africa</t>
  </si>
  <si>
    <t>Other High Income Countries</t>
  </si>
  <si>
    <t>Sub-Saharan Africa</t>
  </si>
  <si>
    <t>South Asia</t>
  </si>
  <si>
    <t>total_severity</t>
  </si>
  <si>
    <t>total_mld</t>
  </si>
  <si>
    <t>total_watts</t>
  </si>
  <si>
    <t>avg_spr_per_year</t>
  </si>
  <si>
    <t>avg_cpi_per_year</t>
  </si>
  <si>
    <t>total_headcount</t>
  </si>
  <si>
    <t>total_gap</t>
  </si>
  <si>
    <t>welfare_type</t>
  </si>
  <si>
    <t>consumption</t>
  </si>
  <si>
    <t>income</t>
  </si>
  <si>
    <t>region2</t>
  </si>
  <si>
    <t>years3</t>
  </si>
  <si>
    <t>region4</t>
  </si>
  <si>
    <t>years5</t>
  </si>
  <si>
    <t>region6</t>
  </si>
  <si>
    <t>years7</t>
  </si>
  <si>
    <t>region8</t>
  </si>
  <si>
    <t>years9</t>
  </si>
  <si>
    <t>Row Labels</t>
  </si>
  <si>
    <t>Grand Total</t>
  </si>
  <si>
    <t>Sum of total_spr</t>
  </si>
  <si>
    <t>Sum of total_severity</t>
  </si>
  <si>
    <t>Sum of total_mld</t>
  </si>
  <si>
    <t>Sum of total_watts</t>
  </si>
  <si>
    <t>Sum of avg_spr_per_year</t>
  </si>
  <si>
    <t>Sum of avg_cpi_per_year</t>
  </si>
  <si>
    <t>Sum of total_headcount</t>
  </si>
  <si>
    <t>Sum of total_gap</t>
  </si>
  <si>
    <t>avg_spr_10y</t>
  </si>
  <si>
    <t>avg_spr_2014</t>
  </si>
  <si>
    <t>avg_spr_2023</t>
  </si>
  <si>
    <t>A Decade of Extreme Poverty: Trends, Severity, and Regional Disparities (2014–2023)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</si>
</sst>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Courier New"/>
      <family val="3"/>
    </font>
    <font>
      <sz val="8"/>
      <name val="Calibri"/>
      <family val="2"/>
      <scheme val="minor"/>
    </font>
    <font>
      <sz val="2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0" fontId="18" fillId="33" borderId="10" xfId="0" applyFont="1" applyFill="1" applyBorder="1" applyAlignment="1">
      <alignment horizontal="left" vertical="center" wrapText="1"/>
    </xf>
    <xf numFmtId="0" fontId="18" fillId="33" borderId="11" xfId="0" applyFont="1" applyFill="1" applyBorder="1" applyAlignment="1">
      <alignment horizontal="left" vertical="center" wrapText="1"/>
    </xf>
    <xf numFmtId="0" fontId="18" fillId="33" borderId="12" xfId="0" applyFont="1" applyFill="1" applyBorder="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8" fillId="33" borderId="16" xfId="0" applyFont="1" applyFill="1" applyBorder="1" applyAlignment="1">
      <alignment horizontal="left" vertical="center" wrapText="1"/>
    </xf>
    <xf numFmtId="0" fontId="18" fillId="33" borderId="17" xfId="0" applyFont="1" applyFill="1" applyBorder="1" applyAlignment="1">
      <alignment horizontal="left" vertical="center" wrapText="1"/>
    </xf>
    <xf numFmtId="0" fontId="18" fillId="33" borderId="18" xfId="0" applyFont="1" applyFill="1" applyBorder="1" applyAlignment="1">
      <alignment horizontal="left" vertical="center" wrapText="1"/>
    </xf>
    <xf numFmtId="0" fontId="0" fillId="0" borderId="0" xfId="0" applyNumberFormat="1"/>
    <xf numFmtId="0" fontId="0" fillId="0" borderId="0" xfId="0" pivotButton="1"/>
    <xf numFmtId="0" fontId="0" fillId="0" borderId="0" xfId="0" applyAlignment="1">
      <alignment horizontal="left"/>
    </xf>
    <xf numFmtId="9" fontId="18" fillId="33" borderId="10" xfId="42" applyFont="1" applyFill="1" applyBorder="1" applyAlignment="1">
      <alignment horizontal="left" vertical="center" wrapText="1"/>
    </xf>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6">
    <dxf>
      <numFmt numFmtId="0" formatCode="General"/>
    </dxf>
    <dxf>
      <numFmt numFmtId="0" formatCode="General"/>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[pip_spr.xlsx]pivot!PivotTable1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effectLst/>
              </a:rPr>
              <a:t>Squared Poverty Gap Ratio (SPR)</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pivot!$B$2:$B$9</c:f>
              <c:numCache>
                <c:formatCode>General</c:formatCode>
                <c:ptCount val="7"/>
                <c:pt idx="0">
                  <c:v>16.182798707993999</c:v>
                </c:pt>
                <c:pt idx="1">
                  <c:v>41.846721262986001</c:v>
                </c:pt>
                <c:pt idx="2">
                  <c:v>35.538081788414999</c:v>
                </c:pt>
                <c:pt idx="3">
                  <c:v>1.5803696267009999</c:v>
                </c:pt>
                <c:pt idx="4">
                  <c:v>28.339508611977003</c:v>
                </c:pt>
                <c:pt idx="5">
                  <c:v>1.580154835069</c:v>
                </c:pt>
                <c:pt idx="6">
                  <c:v>12.091620425120999</c:v>
                </c:pt>
              </c:numCache>
            </c:numRef>
          </c:val>
          <c:extLst>
            <c:ext xmlns:c16="http://schemas.microsoft.com/office/drawing/2014/chart" uri="{C3380CC4-5D6E-409C-BE32-E72D297353CC}">
              <c16:uniqueId val="{00000000-4A15-439F-A509-7C6AA205D7D2}"/>
            </c:ext>
          </c:extLst>
        </c:ser>
        <c:dLbls>
          <c:showLegendKey val="0"/>
          <c:showVal val="0"/>
          <c:showCatName val="0"/>
          <c:showSerName val="0"/>
          <c:showPercent val="0"/>
          <c:showBubbleSize val="0"/>
        </c:dLbls>
        <c:gapWidth val="150"/>
        <c:axId val="434254048"/>
        <c:axId val="434250720"/>
      </c:barChart>
      <c:catAx>
        <c:axId val="43425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250720"/>
        <c:crosses val="autoZero"/>
        <c:auto val="1"/>
        <c:lblAlgn val="ctr"/>
        <c:lblOffset val="100"/>
        <c:noMultiLvlLbl val="0"/>
      </c:catAx>
      <c:valAx>
        <c:axId val="434250720"/>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25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[pip_spr.xlsx]pivot!PivotTable4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Vs Poverty</a:t>
            </a:r>
            <a:r>
              <a:rPr lang="en-US" baseline="0"/>
              <a:t> Gap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pivot!$F$11</c:f>
              <c:strCache>
                <c:ptCount val="1"/>
                <c:pt idx="0">
                  <c:v>Sum of total_headcount</c:v>
                </c:pt>
              </c:strCache>
            </c:strRef>
          </c:tx>
          <c:spPr>
            <a:ln w="28575" cap="rnd">
              <a:solidFill>
                <a:schemeClr val="accent1"/>
              </a:solidFill>
              <a:round/>
            </a:ln>
            <a:effectLst/>
          </c:spPr>
          <c:marker>
            <c:symbol val="none"/>
          </c:marker>
          <c:cat>
            <c:strRef>
              <c:f>pivot!$E$12:$E$19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pivot!$F$12:$F$19</c:f>
              <c:numCache>
                <c:formatCode>General</c:formatCode>
                <c:ptCount val="7"/>
                <c:pt idx="0">
                  <c:v>35.725487071905</c:v>
                </c:pt>
                <c:pt idx="1">
                  <c:v>63.179852486965011</c:v>
                </c:pt>
                <c:pt idx="2">
                  <c:v>48.426576150562994</c:v>
                </c:pt>
                <c:pt idx="3">
                  <c:v>4.2577439315819996</c:v>
                </c:pt>
                <c:pt idx="4">
                  <c:v>4.2325861986569997</c:v>
                </c:pt>
                <c:pt idx="5">
                  <c:v>3.967504498766</c:v>
                </c:pt>
                <c:pt idx="6">
                  <c:v>22.536251256671999</c:v>
                </c:pt>
              </c:numCache>
            </c:numRef>
          </c:val>
          <c:smooth val="0"/>
          <c:extLst>
            <c:ext xmlns:c16="http://schemas.microsoft.com/office/drawing/2014/chart" uri="{C3380CC4-5D6E-409C-BE32-E72D297353CC}">
              <c16:uniqueId val="{00000000-C292-4796-BF31-313F2F39189B}"/>
            </c:ext>
          </c:extLst>
        </c:ser>
        <c:ser>
          <c:idx val="1"/>
          <c:order val="1"/>
          <c:tx>
            <c:strRef>
              <c:f>pivot!$G$11</c:f>
              <c:strCache>
                <c:ptCount val="1"/>
                <c:pt idx="0">
                  <c:v>Sum of total_gap</c:v>
                </c:pt>
              </c:strCache>
            </c:strRef>
          </c:tx>
          <c:spPr>
            <a:ln w="28575" cap="rnd">
              <a:solidFill>
                <a:schemeClr val="accent2"/>
              </a:solidFill>
              <a:round/>
            </a:ln>
            <a:effectLst/>
          </c:spPr>
          <c:marker>
            <c:symbol val="none"/>
          </c:marker>
          <c:cat>
            <c:strRef>
              <c:f>pivot!$E$12:$E$19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pivot!$G$12:$G$19</c:f>
              <c:numCache>
                <c:formatCode>General</c:formatCode>
                <c:ptCount val="7"/>
                <c:pt idx="0">
                  <c:v>14.529774456463999</c:v>
                </c:pt>
                <c:pt idx="1">
                  <c:v>22.991690729934003</c:v>
                </c:pt>
                <c:pt idx="2">
                  <c:v>19.275119281556002</c:v>
                </c:pt>
                <c:pt idx="3">
                  <c:v>2.001204711248</c:v>
                </c:pt>
                <c:pt idx="4">
                  <c:v>1.7438698468129998</c:v>
                </c:pt>
                <c:pt idx="5">
                  <c:v>1.6566070986769998</c:v>
                </c:pt>
                <c:pt idx="6">
                  <c:v>14.262020505960002</c:v>
                </c:pt>
              </c:numCache>
            </c:numRef>
          </c:val>
          <c:smooth val="0"/>
          <c:extLst>
            <c:ext xmlns:c16="http://schemas.microsoft.com/office/drawing/2014/chart" uri="{C3380CC4-5D6E-409C-BE32-E72D297353CC}">
              <c16:uniqueId val="{00000001-C292-4796-BF31-313F2F39189B}"/>
            </c:ext>
          </c:extLst>
        </c:ser>
        <c:dLbls>
          <c:showLegendKey val="0"/>
          <c:showVal val="0"/>
          <c:showCatName val="0"/>
          <c:showSerName val="0"/>
          <c:showPercent val="0"/>
          <c:showBubbleSize val="0"/>
        </c:dLbls>
        <c:smooth val="0"/>
        <c:axId val="540131872"/>
        <c:axId val="540128960"/>
      </c:lineChart>
      <c:catAx>
        <c:axId val="5401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40128960"/>
        <c:crosses val="autoZero"/>
        <c:auto val="1"/>
        <c:lblAlgn val="ctr"/>
        <c:lblOffset val="100"/>
        <c:noMultiLvlLbl val="0"/>
      </c:catAx>
      <c:valAx>
        <c:axId val="54012896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131872"/>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[pip_spr.xlsx]pivot!PivotTable2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In-Equality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pivot!$F$1</c:f>
              <c:strCache>
                <c:ptCount val="1"/>
                <c:pt idx="0">
                  <c:v>Sum of total_severity</c:v>
                </c:pt>
              </c:strCache>
            </c:strRef>
          </c:tx>
          <c:spPr>
            <a:ln w="28575" cap="rnd">
              <a:solidFill>
                <a:schemeClr val="accent1"/>
              </a:solidFill>
              <a:round/>
            </a:ln>
            <a:effectLst/>
          </c:spPr>
          <c:marker>
            <c:symbol val="none"/>
          </c:marker>
          <c:cat>
            <c:strRef>
              <c:f>pivot!$E$2:$E$9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pivot!$F$2:$F$9</c:f>
              <c:numCache>
                <c:formatCode>General</c:formatCode>
                <c:ptCount val="7"/>
                <c:pt idx="0">
                  <c:v>7.6532378081459997</c:v>
                </c:pt>
                <c:pt idx="1">
                  <c:v>11.791605261009998</c:v>
                </c:pt>
                <c:pt idx="2">
                  <c:v>10.569447416704</c:v>
                </c:pt>
                <c:pt idx="3">
                  <c:v>1.170094354095</c:v>
                </c:pt>
                <c:pt idx="4">
                  <c:v>1.100789339069</c:v>
                </c:pt>
                <c:pt idx="5">
                  <c:v>0.87168081345100012</c:v>
                </c:pt>
                <c:pt idx="6">
                  <c:v>10.207168653312001</c:v>
                </c:pt>
              </c:numCache>
            </c:numRef>
          </c:val>
          <c:smooth val="0"/>
          <c:extLst>
            <c:ext xmlns:c16="http://schemas.microsoft.com/office/drawing/2014/chart" uri="{C3380CC4-5D6E-409C-BE32-E72D297353CC}">
              <c16:uniqueId val="{00000000-399C-4B4F-971A-5554EC3341FD}"/>
            </c:ext>
          </c:extLst>
        </c:ser>
        <c:ser>
          <c:idx val="1"/>
          <c:order val="1"/>
          <c:tx>
            <c:strRef>
              <c:f>pivot!$G$1</c:f>
              <c:strCache>
                <c:ptCount val="1"/>
                <c:pt idx="0">
                  <c:v>Sum of total_mld</c:v>
                </c:pt>
              </c:strCache>
            </c:strRef>
          </c:tx>
          <c:spPr>
            <a:ln w="28575" cap="rnd">
              <a:solidFill>
                <a:schemeClr val="accent2"/>
              </a:solidFill>
              <a:round/>
            </a:ln>
            <a:effectLst/>
          </c:spPr>
          <c:marker>
            <c:symbol val="none"/>
          </c:marker>
          <c:cat>
            <c:strRef>
              <c:f>pivot!$E$2:$E$9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pivot!$G$2:$G$9</c:f>
              <c:numCache>
                <c:formatCode>General</c:formatCode>
                <c:ptCount val="7"/>
                <c:pt idx="0">
                  <c:v>14.003008091825</c:v>
                </c:pt>
                <c:pt idx="1">
                  <c:v>47.558962566043988</c:v>
                </c:pt>
                <c:pt idx="2">
                  <c:v>51.679882016093003</c:v>
                </c:pt>
                <c:pt idx="3">
                  <c:v>1.1827258558790001</c:v>
                </c:pt>
                <c:pt idx="4">
                  <c:v>41.802867827754007</c:v>
                </c:pt>
                <c:pt idx="5">
                  <c:v>1.3708960625880002</c:v>
                </c:pt>
                <c:pt idx="6">
                  <c:v>7.4985736502720002</c:v>
                </c:pt>
              </c:numCache>
            </c:numRef>
          </c:val>
          <c:smooth val="0"/>
          <c:extLst>
            <c:ext xmlns:c16="http://schemas.microsoft.com/office/drawing/2014/chart" uri="{C3380CC4-5D6E-409C-BE32-E72D297353CC}">
              <c16:uniqueId val="{00000001-399C-4B4F-971A-5554EC3341FD}"/>
            </c:ext>
          </c:extLst>
        </c:ser>
        <c:ser>
          <c:idx val="2"/>
          <c:order val="2"/>
          <c:tx>
            <c:strRef>
              <c:f>pivot!$H$1</c:f>
              <c:strCache>
                <c:ptCount val="1"/>
                <c:pt idx="0">
                  <c:v>Sum of total_watts</c:v>
                </c:pt>
              </c:strCache>
            </c:strRef>
          </c:tx>
          <c:spPr>
            <a:ln w="28575" cap="rnd">
              <a:solidFill>
                <a:schemeClr val="accent3"/>
              </a:solidFill>
              <a:round/>
            </a:ln>
            <a:effectLst/>
          </c:spPr>
          <c:marker>
            <c:symbol val="none"/>
          </c:marker>
          <c:cat>
            <c:strRef>
              <c:f>pivot!$E$2:$E$9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pivot!$H$2:$H$9</c:f>
              <c:numCache>
                <c:formatCode>General</c:formatCode>
                <c:ptCount val="7"/>
                <c:pt idx="0">
                  <c:v>21.574297358670005</c:v>
                </c:pt>
                <c:pt idx="1">
                  <c:v>35.119439539817002</c:v>
                </c:pt>
                <c:pt idx="2">
                  <c:v>30.442256162798998</c:v>
                </c:pt>
                <c:pt idx="3">
                  <c:v>3.2060242559299996</c:v>
                </c:pt>
                <c:pt idx="4">
                  <c:v>3.5074605738670006</c:v>
                </c:pt>
                <c:pt idx="5">
                  <c:v>2.4448199624670002</c:v>
                </c:pt>
                <c:pt idx="6">
                  <c:v>27.549481136230003</c:v>
                </c:pt>
              </c:numCache>
            </c:numRef>
          </c:val>
          <c:smooth val="0"/>
          <c:extLst>
            <c:ext xmlns:c16="http://schemas.microsoft.com/office/drawing/2014/chart" uri="{C3380CC4-5D6E-409C-BE32-E72D297353CC}">
              <c16:uniqueId val="{00000002-399C-4B4F-971A-5554EC3341FD}"/>
            </c:ext>
          </c:extLst>
        </c:ser>
        <c:dLbls>
          <c:showLegendKey val="0"/>
          <c:showVal val="0"/>
          <c:showCatName val="0"/>
          <c:showSerName val="0"/>
          <c:showPercent val="0"/>
          <c:showBubbleSize val="0"/>
        </c:dLbls>
        <c:smooth val="0"/>
        <c:axId val="543523904"/>
        <c:axId val="543524736"/>
      </c:lineChart>
      <c:catAx>
        <c:axId val="5435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24736"/>
        <c:crosses val="autoZero"/>
        <c:auto val="1"/>
        <c:lblAlgn val="ctr"/>
        <c:lblOffset val="100"/>
        <c:noMultiLvlLbl val="0"/>
      </c:catAx>
      <c:valAx>
        <c:axId val="54352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23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[pip_spr.xlsx]pivot!PivotTable3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The impact of inflation (CPI) on poverty severity (SPR)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pivot!$B$11</c:f>
              <c:strCache>
                <c:ptCount val="1"/>
                <c:pt idx="0">
                  <c:v>Sum of avg_spr_per_year</c:v>
                </c:pt>
              </c:strCache>
            </c:strRef>
          </c:tx>
          <c:spPr>
            <a:solidFill>
              <a:schemeClr val="accent1"/>
            </a:solidFill>
            <a:ln>
              <a:noFill/>
            </a:ln>
            <a:effectLst/>
          </c:spPr>
          <c:invertIfNegative val="0"/>
          <c:cat>
            <c:strRef>
              <c:f>pivot!$A$12:$A$19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pivot!$B$12:$B$19</c:f>
              <c:numCache>
                <c:formatCode>General</c:formatCode>
                <c:ptCount val="7"/>
                <c:pt idx="0">
                  <c:v>16.182798707993999</c:v>
                </c:pt>
                <c:pt idx="1">
                  <c:v>41.846721262986001</c:v>
                </c:pt>
                <c:pt idx="2">
                  <c:v>35.538081788414999</c:v>
                </c:pt>
                <c:pt idx="3">
                  <c:v>1.5803696267009999</c:v>
                </c:pt>
                <c:pt idx="4">
                  <c:v>28.339508611977003</c:v>
                </c:pt>
                <c:pt idx="5">
                  <c:v>1.580154835069</c:v>
                </c:pt>
                <c:pt idx="6">
                  <c:v>12.091620425120999</c:v>
                </c:pt>
              </c:numCache>
            </c:numRef>
          </c:val>
          <c:extLst>
            <c:ext xmlns:c16="http://schemas.microsoft.com/office/drawing/2014/chart" uri="{C3380CC4-5D6E-409C-BE32-E72D297353CC}">
              <c16:uniqueId val="{00000000-A3B6-43BF-B85D-CC21958DEBF6}"/>
            </c:ext>
          </c:extLst>
        </c:ser>
        <c:ser>
          <c:idx val="1"/>
          <c:order val="1"/>
          <c:tx>
            <c:strRef>
              <c:f>pivot!$C$11</c:f>
              <c:strCache>
                <c:ptCount val="1"/>
                <c:pt idx="0">
                  <c:v>Sum of avg_cpi_per_year</c:v>
                </c:pt>
              </c:strCache>
            </c:strRef>
          </c:tx>
          <c:spPr>
            <a:solidFill>
              <a:schemeClr val="accent2"/>
            </a:solidFill>
            <a:ln>
              <a:noFill/>
            </a:ln>
            <a:effectLst/>
          </c:spPr>
          <c:invertIfNegative val="0"/>
          <c:cat>
            <c:strRef>
              <c:f>pivot!$A$12:$A$19</c:f>
              <c:strCache>
                <c:ptCount val="7"/>
                <c:pt idx="0">
                  <c:v>East Asia &amp; Pacific</c:v>
                </c:pt>
                <c:pt idx="1">
                  <c:v>Europe &amp; Central Asia</c:v>
                </c:pt>
                <c:pt idx="2">
                  <c:v>Latin America &amp; Caribbean</c:v>
                </c:pt>
                <c:pt idx="3">
                  <c:v>Middle East &amp; North Africa</c:v>
                </c:pt>
                <c:pt idx="4">
                  <c:v>Other High Income Countries</c:v>
                </c:pt>
                <c:pt idx="5">
                  <c:v>South Asia</c:v>
                </c:pt>
                <c:pt idx="6">
                  <c:v>Sub-Saharan Africa</c:v>
                </c:pt>
              </c:strCache>
            </c:strRef>
          </c:cat>
          <c:val>
            <c:numRef>
              <c:f>pivot!$C$12:$C$19</c:f>
              <c:numCache>
                <c:formatCode>General</c:formatCode>
                <c:ptCount val="7"/>
                <c:pt idx="0">
                  <c:v>61.632236399983007</c:v>
                </c:pt>
                <c:pt idx="1">
                  <c:v>223.74894853681596</c:v>
                </c:pt>
                <c:pt idx="2">
                  <c:v>132.92645386782101</c:v>
                </c:pt>
                <c:pt idx="3">
                  <c:v>5.838019596301999</c:v>
                </c:pt>
                <c:pt idx="4">
                  <c:v>212.51122842129701</c:v>
                </c:pt>
                <c:pt idx="5">
                  <c:v>6.3565708831119991</c:v>
                </c:pt>
                <c:pt idx="6">
                  <c:v>745.18077015922393</c:v>
                </c:pt>
              </c:numCache>
            </c:numRef>
          </c:val>
          <c:extLst>
            <c:ext xmlns:c16="http://schemas.microsoft.com/office/drawing/2014/chart" uri="{C3380CC4-5D6E-409C-BE32-E72D297353CC}">
              <c16:uniqueId val="{00000001-A3B6-43BF-B85D-CC21958DEBF6}"/>
            </c:ext>
          </c:extLst>
        </c:ser>
        <c:dLbls>
          <c:showLegendKey val="0"/>
          <c:showVal val="0"/>
          <c:showCatName val="0"/>
          <c:showSerName val="0"/>
          <c:showPercent val="0"/>
          <c:showBubbleSize val="0"/>
        </c:dLbls>
        <c:gapWidth val="150"/>
        <c:overlap val="100"/>
        <c:axId val="426374672"/>
        <c:axId val="422315440"/>
      </c:barChart>
      <c:catAx>
        <c:axId val="42637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22315440"/>
        <c:crosses val="autoZero"/>
        <c:auto val="1"/>
        <c:lblAlgn val="ctr"/>
        <c:lblOffset val="100"/>
        <c:noMultiLvlLbl val="0"/>
      </c:catAx>
      <c:valAx>
        <c:axId val="422315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74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7384</xdr:colOff>
      <xdr:row>9</xdr:row>
      <xdr:rowOff>7384</xdr:rowOff>
    </xdr:from>
    <xdr:to>
      <xdr:col>10</xdr:col>
      <xdr:colOff>312184</xdr:colOff>
      <xdr:row>23</xdr:row>
      <xdr:rowOff>172484</xdr:rowOff>
    </xdr:to>
    <xdr:graphicFrame macro="">
      <xdr:nvGraphicFramePr>
        <xdr:cNvPr id="2" name="Chart 1">
          <a:extLst>
            <a:ext uri="{FF2B5EF4-FFF2-40B4-BE49-F238E27FC236}">
              <a16:creationId xmlns:a16="http://schemas.microsoft.com/office/drawing/2014/main" id="{A8570D63-BF32-4CD5-A0DC-DE0721970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317500</xdr:colOff>
      <xdr:row>9</xdr:row>
      <xdr:rowOff>0</xdr:rowOff>
    </xdr:from>
    <xdr:to>
      <xdr:col>18</xdr:col>
      <xdr:colOff>12700</xdr:colOff>
      <xdr:row>24</xdr:row>
      <xdr:rowOff>0</xdr:rowOff>
    </xdr:to>
    <xdr:graphicFrame macro="">
      <xdr:nvGraphicFramePr>
        <xdr:cNvPr id="3" name="Chart 2">
          <a:extLst>
            <a:ext uri="{FF2B5EF4-FFF2-40B4-BE49-F238E27FC236}">
              <a16:creationId xmlns:a16="http://schemas.microsoft.com/office/drawing/2014/main" id="{117263B3-3FC8-4E69-8404-29CF1DB73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23</xdr:row>
      <xdr:rowOff>180975</xdr:rowOff>
    </xdr:from>
    <xdr:to>
      <xdr:col>10</xdr:col>
      <xdr:colOff>304800</xdr:colOff>
      <xdr:row>38</xdr:row>
      <xdr:rowOff>161925</xdr:rowOff>
    </xdr:to>
    <xdr:graphicFrame macro="">
      <xdr:nvGraphicFramePr>
        <xdr:cNvPr id="4" name="Chart 3">
          <a:extLst>
            <a:ext uri="{FF2B5EF4-FFF2-40B4-BE49-F238E27FC236}">
              <a16:creationId xmlns:a16="http://schemas.microsoft.com/office/drawing/2014/main" id="{02675485-41DD-4F8A-BC55-0C03C4ACD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311150</xdr:colOff>
      <xdr:row>24</xdr:row>
      <xdr:rowOff>9525</xdr:rowOff>
    </xdr:from>
    <xdr:to>
      <xdr:col>18</xdr:col>
      <xdr:colOff>6350</xdr:colOff>
      <xdr:row>38</xdr:row>
      <xdr:rowOff>174625</xdr:rowOff>
    </xdr:to>
    <xdr:graphicFrame macro="">
      <xdr:nvGraphicFramePr>
        <xdr:cNvPr id="5" name="Chart 4">
          <a:extLst>
            <a:ext uri="{FF2B5EF4-FFF2-40B4-BE49-F238E27FC236}">
              <a16:creationId xmlns:a16="http://schemas.microsoft.com/office/drawing/2014/main" id="{4F9B30BA-DBAC-4ADD-982C-49EB4BA71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9680</xdr:colOff>
      <xdr:row>5</xdr:row>
      <xdr:rowOff>3144</xdr:rowOff>
    </xdr:from>
    <xdr:to>
      <xdr:col>6</xdr:col>
      <xdr:colOff>22151</xdr:colOff>
      <xdr:row>8</xdr:row>
      <xdr:rowOff>180885</xdr:rowOff>
    </xdr:to>
    <xdr:sp macro="" textlink="">
      <xdr:nvSpPr>
        <xdr:cNvPr id="6" name="Rectangle 5">
          <a:extLst>
            <a:ext uri="{FF2B5EF4-FFF2-40B4-BE49-F238E27FC236}">
              <a16:creationId xmlns:a16="http://schemas.microsoft.com/office/drawing/2014/main" id="{6E989B45-5133-450B-ADB8-989CF36B3A1F}"/>
            </a:ext>
          </a:extLst>
        </xdr:cNvPr>
        <xdr:cNvSpPr/>
      </xdr:nvSpPr>
      <xdr:spPr>
        <a:xfrm>
          <a:off x="9680" y="1295295"/>
          <a:ext cx="1851018" cy="7315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t>Average</a:t>
          </a:r>
          <a:r>
            <a:rPr lang="en-US" sz="900" baseline="0"/>
            <a:t> </a:t>
          </a:r>
          <a:r>
            <a:rPr lang="en-US" sz="900"/>
            <a:t>SPR</a:t>
          </a:r>
        </a:p>
        <a:p>
          <a:pPr algn="l"/>
          <a:r>
            <a:rPr lang="en-US" sz="1800"/>
            <a:t>21%</a:t>
          </a:r>
        </a:p>
      </xdr:txBody>
    </xdr:sp>
    <xdr:clientData/>
  </xdr:twoCellAnchor>
  <xdr:twoCellAnchor>
    <xdr:from>
      <xdr:col>6</xdr:col>
      <xdr:colOff>14768</xdr:colOff>
      <xdr:row>4</xdr:row>
      <xdr:rowOff>181861</xdr:rowOff>
    </xdr:from>
    <xdr:to>
      <xdr:col>8</xdr:col>
      <xdr:colOff>596355</xdr:colOff>
      <xdr:row>8</xdr:row>
      <xdr:rowOff>175009</xdr:rowOff>
    </xdr:to>
    <xdr:sp macro="" textlink="">
      <xdr:nvSpPr>
        <xdr:cNvPr id="7" name="Rectangle 6">
          <a:extLst>
            <a:ext uri="{FF2B5EF4-FFF2-40B4-BE49-F238E27FC236}">
              <a16:creationId xmlns:a16="http://schemas.microsoft.com/office/drawing/2014/main" id="{F9627388-9E7E-4A71-AA1F-C62352222468}"/>
            </a:ext>
          </a:extLst>
        </xdr:cNvPr>
        <xdr:cNvSpPr/>
      </xdr:nvSpPr>
      <xdr:spPr>
        <a:xfrm>
          <a:off x="1853315" y="1289419"/>
          <a:ext cx="1807284" cy="7315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t>10-Year Change</a:t>
          </a:r>
          <a:r>
            <a:rPr lang="en-US" sz="900" baseline="0"/>
            <a:t> of SPR</a:t>
          </a:r>
        </a:p>
        <a:p>
          <a:pPr algn="l"/>
          <a:r>
            <a:rPr lang="en-US" sz="1800"/>
            <a:t>12.48%</a:t>
          </a:r>
        </a:p>
      </xdr:txBody>
    </xdr:sp>
    <xdr:clientData/>
  </xdr:twoCellAnchor>
  <xdr:twoCellAnchor editAs="oneCell">
    <xdr:from>
      <xdr:col>18</xdr:col>
      <xdr:colOff>23518</xdr:colOff>
      <xdr:row>4</xdr:row>
      <xdr:rowOff>174293</xdr:rowOff>
    </xdr:from>
    <xdr:to>
      <xdr:col>25</xdr:col>
      <xdr:colOff>412338</xdr:colOff>
      <xdr:row>9</xdr:row>
      <xdr:rowOff>122296</xdr:rowOff>
    </xdr:to>
    <mc:AlternateContent xmlns:mc="http://schemas.openxmlformats.org/markup-compatibility/2006" xmlns:a14="http://schemas.microsoft.com/office/drawing/2010/main">
      <mc:Choice Requires="a14">
        <xdr:graphicFrame macro="">
          <xdr:nvGraphicFramePr>
            <xdr:cNvPr id="8" name="years">
              <a:extLst>
                <a:ext uri="{FF2B5EF4-FFF2-40B4-BE49-F238E27FC236}">
                  <a16:creationId xmlns:a16="http://schemas.microsoft.com/office/drawing/2014/main" id="{301812EA-61CC-453D-9C96-DFF8185F343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990140" y="1143955"/>
              <a:ext cx="4653617" cy="849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14219</xdr:colOff>
      <xdr:row>9</xdr:row>
      <xdr:rowOff>130282</xdr:rowOff>
    </xdr:from>
    <xdr:to>
      <xdr:col>25</xdr:col>
      <xdr:colOff>400323</xdr:colOff>
      <xdr:row>13</xdr:row>
      <xdr:rowOff>42334</xdr:rowOff>
    </xdr:to>
    <mc:AlternateContent xmlns:mc="http://schemas.openxmlformats.org/markup-compatibility/2006" xmlns:a14="http://schemas.microsoft.com/office/drawing/2010/main">
      <mc:Choice Requires="a14">
        <xdr:graphicFrame macro="">
          <xdr:nvGraphicFramePr>
            <xdr:cNvPr id="9" name="welfare_type">
              <a:extLst>
                <a:ext uri="{FF2B5EF4-FFF2-40B4-BE49-F238E27FC236}">
                  <a16:creationId xmlns:a16="http://schemas.microsoft.com/office/drawing/2014/main" id="{F53B10A9-44BE-472D-A2BB-AE26625AFB40}"/>
                </a:ext>
              </a:extLst>
            </xdr:cNvPr>
            <xdr:cNvGraphicFramePr/>
          </xdr:nvGraphicFramePr>
          <xdr:xfrm>
            <a:off x="0" y="0"/>
            <a:ext cx="0" cy="0"/>
          </xdr:xfrm>
          <a:graphic>
            <a:graphicData uri="http://schemas.microsoft.com/office/drawing/2010/slicer">
              <sle:slicer xmlns:sle="http://schemas.microsoft.com/office/drawing/2010/slicer" name="welfare_type"/>
            </a:graphicData>
          </a:graphic>
        </xdr:graphicFrame>
      </mc:Choice>
      <mc:Fallback xmlns="">
        <xdr:sp macro="" textlink="">
          <xdr:nvSpPr>
            <xdr:cNvPr id="0" name=""/>
            <xdr:cNvSpPr>
              <a:spLocks noTextEdit="1"/>
            </xdr:cNvSpPr>
          </xdr:nvSpPr>
          <xdr:spPr>
            <a:xfrm>
              <a:off x="10980841" y="2000958"/>
              <a:ext cx="4650901" cy="632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17447</xdr:colOff>
      <xdr:row>13</xdr:row>
      <xdr:rowOff>32925</xdr:rowOff>
    </xdr:from>
    <xdr:to>
      <xdr:col>25</xdr:col>
      <xdr:colOff>437078</xdr:colOff>
      <xdr:row>26</xdr:row>
      <xdr:rowOff>8247</xdr:rowOff>
    </xdr:to>
    <xdr:sp macro="" textlink="">
      <xdr:nvSpPr>
        <xdr:cNvPr id="10" name="Rectangle 9">
          <a:extLst>
            <a:ext uri="{FF2B5EF4-FFF2-40B4-BE49-F238E27FC236}">
              <a16:creationId xmlns:a16="http://schemas.microsoft.com/office/drawing/2014/main" id="{BD730385-51C6-44EE-9203-510E1232F9E6}"/>
            </a:ext>
          </a:extLst>
        </xdr:cNvPr>
        <xdr:cNvSpPr/>
      </xdr:nvSpPr>
      <xdr:spPr>
        <a:xfrm>
          <a:off x="9171343" y="2754354"/>
          <a:ext cx="4691449" cy="23338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KEY INSIGHT :</a:t>
          </a:r>
        </a:p>
        <a:p>
          <a:pPr algn="l"/>
          <a:r>
            <a:rPr lang="en-US" sz="1100"/>
            <a:t>● </a:t>
          </a:r>
          <a:r>
            <a:rPr lang="en-US"/>
            <a:t>Sub-Saharan Africa consistently shows the highest SPR, indicating that extreme poverty there is both widespread and much deeper than in other regions.</a:t>
          </a:r>
        </a:p>
        <a:p>
          <a:pPr algn="l"/>
          <a:r>
            <a:rPr lang="en-US" sz="1100">
              <a:solidFill>
                <a:schemeClr val="lt1"/>
              </a:solidFill>
              <a:effectLst/>
              <a:latin typeface="+mn-lt"/>
              <a:ea typeface="+mn-ea"/>
              <a:cs typeface="+mn-cs"/>
            </a:rPr>
            <a:t>● </a:t>
          </a:r>
          <a:r>
            <a:rPr lang="en-US"/>
            <a:t>In several regions, poverty headcount decreased, but the poverty gap remained relatively high, suggesting that the poorest households are still far below the poverty line.</a:t>
          </a:r>
        </a:p>
        <a:p>
          <a:pPr algn="l"/>
          <a:r>
            <a:rPr lang="en-US" sz="1100">
              <a:solidFill>
                <a:schemeClr val="lt1"/>
              </a:solidFill>
              <a:effectLst/>
              <a:latin typeface="+mn-lt"/>
              <a:ea typeface="+mn-ea"/>
              <a:cs typeface="+mn-cs"/>
            </a:rPr>
            <a:t>● </a:t>
          </a:r>
          <a:r>
            <a:rPr lang="en-US"/>
            <a:t>Regions differ significantly in inequality among the extreme poor, with higher MLD and Watts values indicating larger disparities even when overall poverty declines.</a:t>
          </a:r>
        </a:p>
        <a:p>
          <a:pPr algn="l"/>
          <a:r>
            <a:rPr lang="en-US" sz="1100">
              <a:solidFill>
                <a:schemeClr val="lt1"/>
              </a:solidFill>
              <a:effectLst/>
              <a:latin typeface="+mn-lt"/>
              <a:ea typeface="+mn-ea"/>
              <a:cs typeface="+mn-cs"/>
            </a:rPr>
            <a:t>● </a:t>
          </a:r>
          <a:r>
            <a:rPr lang="en-US"/>
            <a:t>Regions with higher inflation levels tend to maintain higher poverty severity, implying that rising prices may weaken poverty reduction efforts.</a:t>
          </a:r>
        </a:p>
      </xdr:txBody>
    </xdr:sp>
    <xdr:clientData/>
  </xdr:twoCellAnchor>
  <xdr:twoCellAnchor>
    <xdr:from>
      <xdr:col>8</xdr:col>
      <xdr:colOff>598081</xdr:colOff>
      <xdr:row>5</xdr:row>
      <xdr:rowOff>1994</xdr:rowOff>
    </xdr:from>
    <xdr:to>
      <xdr:col>12</xdr:col>
      <xdr:colOff>608456</xdr:colOff>
      <xdr:row>8</xdr:row>
      <xdr:rowOff>179735</xdr:rowOff>
    </xdr:to>
    <xdr:sp macro="" textlink="">
      <xdr:nvSpPr>
        <xdr:cNvPr id="11" name="Rectangle 10">
          <a:extLst>
            <a:ext uri="{FF2B5EF4-FFF2-40B4-BE49-F238E27FC236}">
              <a16:creationId xmlns:a16="http://schemas.microsoft.com/office/drawing/2014/main" id="{D662B698-100D-4160-A381-1C4434F4589B}"/>
            </a:ext>
          </a:extLst>
        </xdr:cNvPr>
        <xdr:cNvSpPr/>
      </xdr:nvSpPr>
      <xdr:spPr>
        <a:xfrm>
          <a:off x="3662325" y="1294145"/>
          <a:ext cx="2461771" cy="7315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t>Highest</a:t>
          </a:r>
          <a:r>
            <a:rPr lang="en-US" sz="900" baseline="0"/>
            <a:t> Poverti Rate</a:t>
          </a:r>
          <a:endParaRPr lang="en-US" sz="900"/>
        </a:p>
        <a:p>
          <a:pPr algn="l"/>
          <a:r>
            <a:rPr lang="en-US" sz="1600"/>
            <a:t>Sub-Saharan Africa (45.6%)</a:t>
          </a:r>
        </a:p>
      </xdr:txBody>
    </xdr:sp>
    <xdr:clientData/>
  </xdr:twoCellAnchor>
  <xdr:twoCellAnchor>
    <xdr:from>
      <xdr:col>12</xdr:col>
      <xdr:colOff>583313</xdr:colOff>
      <xdr:row>5</xdr:row>
      <xdr:rowOff>2501</xdr:rowOff>
    </xdr:from>
    <xdr:to>
      <xdr:col>18</xdr:col>
      <xdr:colOff>0</xdr:colOff>
      <xdr:row>8</xdr:row>
      <xdr:rowOff>177078</xdr:rowOff>
    </xdr:to>
    <xdr:sp macro="" textlink="">
      <xdr:nvSpPr>
        <xdr:cNvPr id="12" name="Rectangle 11">
          <a:extLst>
            <a:ext uri="{FF2B5EF4-FFF2-40B4-BE49-F238E27FC236}">
              <a16:creationId xmlns:a16="http://schemas.microsoft.com/office/drawing/2014/main" id="{F3D760F8-1DDB-4AB9-8A16-823BB4B999D4}"/>
            </a:ext>
          </a:extLst>
        </xdr:cNvPr>
        <xdr:cNvSpPr/>
      </xdr:nvSpPr>
      <xdr:spPr>
        <a:xfrm>
          <a:off x="6075651" y="1272501"/>
          <a:ext cx="3078245" cy="71886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t>Fastes</a:t>
          </a:r>
          <a:r>
            <a:rPr lang="en-US" sz="900" baseline="0"/>
            <a:t> Poverty Reduction</a:t>
          </a:r>
          <a:endParaRPr lang="en-US" sz="900"/>
        </a:p>
        <a:p>
          <a:pPr algn="l"/>
          <a:r>
            <a:rPr lang="en-US" sz="1600"/>
            <a:t>East Asia &amp; Pacific (15.85%)</a:t>
          </a:r>
        </a:p>
      </xdr:txBody>
    </xdr:sp>
    <xdr:clientData/>
  </xdr:twoCellAnchor>
  <xdr:twoCellAnchor>
    <xdr:from>
      <xdr:col>18</xdr:col>
      <xdr:colOff>18814</xdr:colOff>
      <xdr:row>25</xdr:row>
      <xdr:rowOff>169333</xdr:rowOff>
    </xdr:from>
    <xdr:to>
      <xdr:col>25</xdr:col>
      <xdr:colOff>440612</xdr:colOff>
      <xdr:row>38</xdr:row>
      <xdr:rowOff>169333</xdr:rowOff>
    </xdr:to>
    <xdr:sp macro="" textlink="">
      <xdr:nvSpPr>
        <xdr:cNvPr id="15" name="Rectangle 14">
          <a:extLst>
            <a:ext uri="{FF2B5EF4-FFF2-40B4-BE49-F238E27FC236}">
              <a16:creationId xmlns:a16="http://schemas.microsoft.com/office/drawing/2014/main" id="{2701E106-C097-4851-AE4C-0AE63B62EB50}"/>
            </a:ext>
          </a:extLst>
        </xdr:cNvPr>
        <xdr:cNvSpPr/>
      </xdr:nvSpPr>
      <xdr:spPr>
        <a:xfrm>
          <a:off x="9155038" y="5067904"/>
          <a:ext cx="4685370" cy="23585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RECOMMENDATION</a:t>
          </a:r>
          <a:r>
            <a:rPr lang="en-US" sz="1100" baseline="0"/>
            <a:t> :</a:t>
          </a:r>
        </a:p>
        <a:p>
          <a:pPr algn="l"/>
          <a:r>
            <a:rPr lang="en-US" sz="1100">
              <a:solidFill>
                <a:schemeClr val="lt1"/>
              </a:solidFill>
              <a:effectLst/>
              <a:latin typeface="+mn-lt"/>
              <a:ea typeface="+mn-ea"/>
              <a:cs typeface="+mn-cs"/>
            </a:rPr>
            <a:t>● </a:t>
          </a:r>
          <a:r>
            <a:rPr lang="en-US" i="1"/>
            <a:t>(Driven by: SPR &amp; inequality charts)</a:t>
          </a:r>
          <a:br>
            <a:rPr lang="en-US"/>
          </a:br>
          <a:r>
            <a:rPr lang="en-US"/>
            <a:t>In regions like Sub-Saharan Africa, policies should prioritize reducing poverty severity-not just headcount-through targeted support for the poorest households.</a:t>
          </a:r>
        </a:p>
        <a:p>
          <a:pPr algn="l"/>
          <a:r>
            <a:rPr lang="en-US" sz="1100">
              <a:solidFill>
                <a:schemeClr val="lt1"/>
              </a:solidFill>
              <a:effectLst/>
              <a:latin typeface="+mn-lt"/>
              <a:ea typeface="+mn-ea"/>
              <a:cs typeface="+mn-cs"/>
            </a:rPr>
            <a:t>● </a:t>
          </a:r>
          <a:r>
            <a:rPr lang="en-US" i="1"/>
            <a:t>(Driven by: CPI vs SPR chart)</a:t>
          </a:r>
          <a:br>
            <a:rPr lang="en-US"/>
          </a:br>
          <a:r>
            <a:rPr lang="en-US"/>
            <a:t>Social protection programs must be inflation-responsive to prevent rising prices from offsetting poverty reduction gains.</a:t>
          </a:r>
          <a:endParaRPr lang="en-US" sz="1100">
            <a:solidFill>
              <a:schemeClr val="lt1"/>
            </a:solidFill>
            <a:effectLst/>
            <a:latin typeface="+mn-lt"/>
            <a:ea typeface="+mn-ea"/>
            <a:cs typeface="+mn-cs"/>
          </a:endParaRPr>
        </a:p>
        <a:p>
          <a:pPr algn="l"/>
          <a:r>
            <a:rPr lang="en-US"/>
            <a:t>Successful strategies from East Asia &amp; Pacific should be adapted and replicated in regions with slower progress to accelerate long-term poverty reduction.</a:t>
          </a:r>
        </a:p>
        <a:p>
          <a:pPr algn="l"/>
          <a:r>
            <a:rPr lang="en-US" sz="1100">
              <a:solidFill>
                <a:schemeClr val="lt1"/>
              </a:solidFill>
              <a:effectLst/>
              <a:latin typeface="+mn-lt"/>
              <a:ea typeface="+mn-ea"/>
              <a:cs typeface="+mn-cs"/>
            </a:rPr>
            <a:t>● </a:t>
          </a:r>
          <a:r>
            <a:rPr lang="en-US" i="1"/>
            <a:t>(Driven by: CPI vs SPR chart)</a:t>
          </a:r>
          <a:br>
            <a:rPr lang="en-US"/>
          </a:br>
          <a:r>
            <a:rPr lang="en-US"/>
            <a:t>Social protection programs must be inflation-responsive to prevent rising prices from offsetting poverty reduction gains.</a:t>
          </a:r>
          <a:endParaRPr lang="en-US" sz="1100"/>
        </a:p>
      </xdr:txBody>
    </xdr:sp>
    <xdr:clientData/>
  </xdr:twoCellAnchor>
  <xdr:twoCellAnchor>
    <xdr:from>
      <xdr:col>3</xdr:col>
      <xdr:colOff>0</xdr:colOff>
      <xdr:row>2</xdr:row>
      <xdr:rowOff>68930</xdr:rowOff>
    </xdr:from>
    <xdr:to>
      <xdr:col>25</xdr:col>
      <xdr:colOff>413712</xdr:colOff>
      <xdr:row>4</xdr:row>
      <xdr:rowOff>155754</xdr:rowOff>
    </xdr:to>
    <xdr:sp macro="" textlink="">
      <xdr:nvSpPr>
        <xdr:cNvPr id="16" name="Rectangle 15">
          <a:extLst>
            <a:ext uri="{FF2B5EF4-FFF2-40B4-BE49-F238E27FC236}">
              <a16:creationId xmlns:a16="http://schemas.microsoft.com/office/drawing/2014/main" id="{DD2D1E96-A21C-4EBB-8E3D-97DA95EE052B}"/>
            </a:ext>
          </a:extLst>
        </xdr:cNvPr>
        <xdr:cNvSpPr/>
      </xdr:nvSpPr>
      <xdr:spPr>
        <a:xfrm>
          <a:off x="0" y="1040672"/>
          <a:ext cx="13854545" cy="4524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I start with SPR to identify where extreme poverty is deepest, then look at headcount and poverty gap to separate quantity from depth. Inequality indicators explain distribution among the poorest, CPI shows vulnerability to inflation, and welfare type ensures measurement robustness.</a:t>
          </a:r>
          <a:r>
            <a:rPr lang="en-US"/>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LAPTOP" refreshedDate="46006.506816898145" createdVersion="7" refreshedVersion="7" minRefreshableVersion="3" recordCount="58" xr:uid="{00000000-000A-0000-FFFF-FFFF02000000}">
  <cacheSource type="worksheet">
    <worksheetSource name="Table1_2"/>
  </cacheSource>
  <cacheFields count="11">
    <cacheField name="region" numFmtId="0">
      <sharedItems count="7">
        <s v="East Asia &amp; Pacific"/>
        <s v="Europe &amp; Central Asia"/>
        <s v="Latin America &amp; Caribbean"/>
        <s v="Middle East &amp; North Africa"/>
        <s v="Other High Income Countries"/>
        <s v="Sub-Saharan Africa"/>
        <s v="South Asia"/>
      </sharedItems>
    </cacheField>
    <cacheField name="years" numFmtId="0">
      <sharedItems containsSemiMixedTypes="0" containsString="0" containsNumber="1" containsInteger="1" minValue="2014" maxValue="2023" count="10">
        <n v="2014"/>
        <n v="2015"/>
        <n v="2016"/>
        <n v="2017"/>
        <n v="2018"/>
        <n v="2019"/>
        <n v="2020"/>
        <n v="2021"/>
        <n v="2022"/>
        <n v="2023"/>
      </sharedItems>
    </cacheField>
    <cacheField name="total_spr" numFmtId="0">
      <sharedItems containsSemiMixedTypes="0" containsString="0" containsNumber="1" minValue="0.166200464623" maxValue="5.3034855890269998"/>
    </cacheField>
    <cacheField name="total_severity" numFmtId="0">
      <sharedItems containsSemiMixedTypes="0" containsString="0" containsNumber="1" minValue="1.2286756772E-2" maxValue="2.3969058614869998"/>
    </cacheField>
    <cacheField name="total_mld" numFmtId="0">
      <sharedItems containsSemiMixedTypes="0" containsString="0" containsNumber="1" minValue="0.116511924897" maxValue="6.3567429864209997"/>
    </cacheField>
    <cacheField name="total_watts" numFmtId="0">
      <sharedItems containsSemiMixedTypes="0" containsString="0" containsNumber="1" minValue="4.1890141895000003E-2" maxValue="6.4715827513770003"/>
    </cacheField>
    <cacheField name="avg_spr_per_year" numFmtId="0">
      <sharedItems containsSemiMixedTypes="0" containsString="0" containsNumber="1" minValue="0.166200464623" maxValue="5.3034855890269998"/>
    </cacheField>
    <cacheField name="avg_cpi_per_year" numFmtId="0">
      <sharedItems containsSemiMixedTypes="0" containsString="0" containsNumber="1" minValue="0.20953410702700001" maxValue="727.15794387163896"/>
    </cacheField>
    <cacheField name="total_headcount" numFmtId="0">
      <sharedItems containsSemiMixedTypes="0" containsString="0" containsNumber="1" minValue="2.4998247772999999E-2" maxValue="8.7025493303319994"/>
    </cacheField>
    <cacheField name="total_gap" numFmtId="0">
      <sharedItems containsSemiMixedTypes="0" containsString="0" containsNumber="1" minValue="1.5056659227E-2" maxValue="3.5742688843039998"/>
    </cacheField>
    <cacheField name="welfare_type" numFmtId="0">
      <sharedItems count="2">
        <s v="consumption"/>
        <s v="income"/>
      </sharedItems>
    </cacheField>
  </cacheFields>
  <extLst>
    <ext xmlns:x14="http://schemas.microsoft.com/office/spreadsheetml/2009/9/main" uri="{725AE2AE-9491-48be-B2B4-4EB974FC3084}">
      <x14:pivotCacheDefinition pivotCacheId="916904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n v="2.2191988316220002"/>
    <n v="1.2752058838889999"/>
    <n v="1.640725316805"/>
    <n v="3.4738451111169999"/>
    <n v="2.2191988316220002"/>
    <n v="6.8181787882820002"/>
    <n v="4.858163574073"/>
    <n v="2.2128917129049999"/>
    <x v="0"/>
  </r>
  <r>
    <x v="1"/>
    <x v="0"/>
    <n v="5.0603249860780002"/>
    <n v="1.500451204899"/>
    <n v="5.4813522776749997"/>
    <n v="4.4460877689610001"/>
    <n v="5.0603249860780002"/>
    <n v="24.496743607656001"/>
    <n v="8.0910758196980002"/>
    <n v="2.9335620068770001"/>
    <x v="0"/>
  </r>
  <r>
    <x v="2"/>
    <x v="0"/>
    <n v="4.3558217882649997"/>
    <n v="1.530329384853"/>
    <n v="6.3567429864209997"/>
    <n v="4.3293569610090001"/>
    <n v="4.3558217882649997"/>
    <n v="12.217684467844"/>
    <n v="6.5281824141160003"/>
    <n v="2.7316627576679999"/>
    <x v="1"/>
  </r>
  <r>
    <x v="3"/>
    <x v="0"/>
    <n v="0.38025014367999999"/>
    <n v="0.36611870909400002"/>
    <n v="0.22201066480199999"/>
    <n v="0.95305143808600001"/>
    <n v="0.38025014367999999"/>
    <n v="0.20953410702700001"/>
    <n v="0.92159822462800001"/>
    <n v="0.550853236749"/>
    <x v="0"/>
  </r>
  <r>
    <x v="4"/>
    <x v="0"/>
    <n v="3.3846584178689998"/>
    <n v="0.15264457340900001"/>
    <n v="4.9645808361299997"/>
    <n v="0.48027833635299999"/>
    <n v="3.3846584178689998"/>
    <n v="24.09286436308"/>
    <n v="0.633750535527"/>
    <n v="0.25100872087100001"/>
    <x v="1"/>
  </r>
  <r>
    <x v="5"/>
    <x v="0"/>
    <n v="2.8680138611510002"/>
    <n v="2.3969058614869998"/>
    <n v="1.694994665711"/>
    <n v="6.3435356205079998"/>
    <n v="2.8680138611510002"/>
    <n v="4.8782689353380002"/>
    <n v="6.1476466256449998"/>
    <n v="3.5742688843039998"/>
    <x v="0"/>
  </r>
  <r>
    <x v="0"/>
    <x v="1"/>
    <n v="2.504953926582"/>
    <n v="1.505329074152"/>
    <n v="2.128407900824"/>
    <n v="4.1217915013570003"/>
    <n v="2.504953926582"/>
    <n v="7.6005979484140003"/>
    <n v="5.9181704106510002"/>
    <n v="2.6754540963219999"/>
    <x v="0"/>
  </r>
  <r>
    <x v="1"/>
    <x v="1"/>
    <n v="5.224784736208"/>
    <n v="1.6433281054669999"/>
    <n v="5.5598100197000004"/>
    <n v="4.8389295937150001"/>
    <n v="5.224784736208"/>
    <n v="23.704685104056999"/>
    <n v="8.7025493303319994"/>
    <n v="3.2000841506579998"/>
    <x v="0"/>
  </r>
  <r>
    <x v="2"/>
    <x v="1"/>
    <n v="3.4109419715609999"/>
    <n v="1.09256436921"/>
    <n v="5.1044017623410003"/>
    <n v="3.1168237798840002"/>
    <n v="3.4109419715609999"/>
    <n v="10.991177406584001"/>
    <n v="4.7699937064690001"/>
    <n v="1.955497968065"/>
    <x v="1"/>
  </r>
  <r>
    <x v="3"/>
    <x v="1"/>
    <n v="0.166200464623"/>
    <n v="0.106182274142"/>
    <n v="0.16979732300299999"/>
    <n v="0.32797872317299998"/>
    <n v="0.166200464623"/>
    <n v="0.49158494412600001"/>
    <n v="0.71774135093900004"/>
    <n v="0.24393538258299999"/>
    <x v="0"/>
  </r>
  <r>
    <x v="4"/>
    <x v="1"/>
    <n v="3.1692739374809999"/>
    <n v="0.14771195859299999"/>
    <n v="4.6421137630690001"/>
    <n v="0.46604959765600001"/>
    <n v="3.1692739374809999"/>
    <n v="22.320934711909"/>
    <n v="0.56942558674599997"/>
    <n v="0.234558560645"/>
    <x v="1"/>
  </r>
  <r>
    <x v="5"/>
    <x v="1"/>
    <n v="2.7502919770980001"/>
    <n v="2.334991814905"/>
    <n v="1.9125267846330001"/>
    <n v="6.4715827513770003"/>
    <n v="2.7502919770980001"/>
    <n v="4.2433233690560002"/>
    <n v="4.523541416364"/>
    <n v="3.0876836099239999"/>
    <x v="0"/>
  </r>
  <r>
    <x v="0"/>
    <x v="2"/>
    <n v="1.7071599805069999"/>
    <n v="0.71163940640800005"/>
    <n v="1.4647712381189999"/>
    <n v="2.0416755183199999"/>
    <n v="1.7071599805069999"/>
    <n v="6.1399542106869998"/>
    <n v="3.6556832356640001"/>
    <n v="1.4052976514340001"/>
    <x v="0"/>
  </r>
  <r>
    <x v="1"/>
    <x v="2"/>
    <n v="5.1621173126380002"/>
    <n v="1.4999226248399999"/>
    <n v="5.5733198151319998"/>
    <n v="4.4747499255719996"/>
    <n v="5.1621173126380002"/>
    <n v="24.359246439197999"/>
    <n v="8.1087596032350007"/>
    <n v="2.9429322763069998"/>
    <x v="0"/>
  </r>
  <r>
    <x v="2"/>
    <x v="2"/>
    <n v="3.936044792398"/>
    <n v="1.230587475154"/>
    <n v="5.7027432447099997"/>
    <n v="3.5280415850289999"/>
    <n v="3.936044792398"/>
    <n v="12.237767588932"/>
    <n v="5.3973279839819996"/>
    <n v="2.200713750961"/>
    <x v="1"/>
  </r>
  <r>
    <x v="4"/>
    <x v="2"/>
    <n v="3.5403036808060002"/>
    <n v="0.14569800793500001"/>
    <n v="5.191055410593"/>
    <n v="0.46201513136700001"/>
    <n v="3.5403036808060002"/>
    <n v="25.233410946326"/>
    <n v="0.57668127275900005"/>
    <n v="0.23502766660800001"/>
    <x v="1"/>
  </r>
  <r>
    <x v="6"/>
    <x v="2"/>
    <n v="0.69973678616299995"/>
    <n v="0.44624397759200002"/>
    <n v="0.58968472889800005"/>
    <n v="1.222374731305"/>
    <n v="0.69973678616299995"/>
    <n v="2.5138678395879999"/>
    <n v="1.7888300388659999"/>
    <n v="0.80443993515300005"/>
    <x v="0"/>
  </r>
  <r>
    <x v="5"/>
    <x v="2"/>
    <n v="0.38420251594299998"/>
    <n v="0.36323307737799998"/>
    <n v="0.20616328518499999"/>
    <n v="0.95078921336800004"/>
    <n v="0.38420251594299998"/>
    <n v="0.44965158979199998"/>
    <n v="0.92647012862"/>
    <n v="0.54754014087500003"/>
    <x v="0"/>
  </r>
  <r>
    <x v="0"/>
    <x v="3"/>
    <n v="1.52616255802"/>
    <n v="0.73950030240300002"/>
    <n v="1.255769965299"/>
    <n v="2.0806009646889998"/>
    <n v="1.52616255802"/>
    <n v="5.3942638626789998"/>
    <n v="3.4302631043559999"/>
    <n v="1.4149379043970001"/>
    <x v="0"/>
  </r>
  <r>
    <x v="1"/>
    <x v="3"/>
    <n v="5.3034855890269998"/>
    <n v="1.5769169493870001"/>
    <n v="6.0816131559870001"/>
    <n v="4.7173187902880001"/>
    <n v="5.3034855890269998"/>
    <n v="25.785510034304"/>
    <n v="8.2544042958620008"/>
    <n v="3.0369617675099998"/>
    <x v="0"/>
  </r>
  <r>
    <x v="2"/>
    <x v="3"/>
    <n v="3.5668695518860001"/>
    <n v="1.0458030909660001"/>
    <n v="5.2874995058429999"/>
    <n v="3.0098245126230001"/>
    <n v="3.5668695518860001"/>
    <n v="11.869246991574"/>
    <n v="4.6851219613139996"/>
    <n v="1.8862070471200001"/>
    <x v="1"/>
  </r>
  <r>
    <x v="3"/>
    <x v="3"/>
    <n v="0.36031852038399997"/>
    <n v="0.30905939487599998"/>
    <n v="0.30507611393200001"/>
    <n v="0.83505121346199995"/>
    <n v="0.36031852038399997"/>
    <n v="0.93898819795699995"/>
    <n v="0.86460950961600003"/>
    <n v="0.478368872572"/>
    <x v="0"/>
  </r>
  <r>
    <x v="4"/>
    <x v="3"/>
    <n v="3.3758853386859999"/>
    <n v="0.125376717093"/>
    <n v="4.8776669045469996"/>
    <n v="0.39987649934000002"/>
    <n v="3.3758853386859999"/>
    <n v="24.646055444150001"/>
    <n v="0.49262446638500001"/>
    <n v="0.200386379625"/>
    <x v="1"/>
  </r>
  <r>
    <x v="6"/>
    <x v="3"/>
    <n v="0.24992366973800001"/>
    <n v="9.6085640264999994E-2"/>
    <n v="0.23230893762499999"/>
    <n v="0.28071080734100001"/>
    <n v="0.24992366973800001"/>
    <n v="0.83574193284800002"/>
    <n v="0.53047910943700005"/>
    <n v="0.198474027011"/>
    <x v="0"/>
  </r>
  <r>
    <x v="5"/>
    <x v="3"/>
    <n v="1.18158631396"/>
    <n v="0.73113522662200003"/>
    <n v="1.0773334736910001"/>
    <n v="1.975971847921"/>
    <n v="1.18158631396"/>
    <n v="727.15794387163896"/>
    <n v="2.4042588262279998"/>
    <n v="1.1835555449999999"/>
    <x v="0"/>
  </r>
  <r>
    <x v="0"/>
    <x v="4"/>
    <n v="2.217995358529"/>
    <n v="0.97934186547699997"/>
    <n v="2.0106939063599998"/>
    <n v="2.7846771182349999"/>
    <n v="2.217995358529"/>
    <n v="8.3033097604330006"/>
    <n v="4.7963565178470002"/>
    <n v="1.9021752245820001"/>
    <x v="0"/>
  </r>
  <r>
    <x v="1"/>
    <x v="4"/>
    <n v="5.2712592624269998"/>
    <n v="1.3928569642069999"/>
    <n v="6.0461418844179997"/>
    <n v="4.1577782223569999"/>
    <n v="5.2712592624269998"/>
    <n v="27.532880450360999"/>
    <n v="7.5019931487419997"/>
    <n v="2.7027594438999998"/>
    <x v="0"/>
  </r>
  <r>
    <x v="2"/>
    <x v="4"/>
    <n v="3.7773891273250002"/>
    <n v="1.1107497366000001"/>
    <n v="5.4551311775059999"/>
    <n v="3.2021826035109999"/>
    <n v="3.7773891273250002"/>
    <n v="13.108464138161001"/>
    <n v="5.1587863978769999"/>
    <n v="2.0351415028469999"/>
    <x v="1"/>
  </r>
  <r>
    <x v="4"/>
    <x v="4"/>
    <n v="3.5968286740200002"/>
    <n v="0.128955285866"/>
    <n v="5.2857745830800003"/>
    <n v="0.414893025774"/>
    <n v="3.5968286740200002"/>
    <n v="27.011469240238998"/>
    <n v="0.48754956160099999"/>
    <n v="0.20238031079499999"/>
    <x v="1"/>
  </r>
  <r>
    <x v="5"/>
    <x v="4"/>
    <n v="0.41485199705600001"/>
    <n v="0.406826018816"/>
    <n v="0.208215754255"/>
    <n v="1.048996385271"/>
    <n v="0.41485199705600001"/>
    <n v="0.68630581816500003"/>
    <n v="0.94593643111699999"/>
    <n v="0.59457605572500005"/>
    <x v="0"/>
  </r>
  <r>
    <x v="0"/>
    <x v="5"/>
    <n v="1.1599646391589999"/>
    <n v="0.39759897380800002"/>
    <n v="1.0381301561580001"/>
    <n v="1.1693866599980001"/>
    <n v="1.1599646391589999"/>
    <n v="4.8345427386040001"/>
    <n v="2.2999742255069999"/>
    <n v="0.82848018601100004"/>
    <x v="0"/>
  </r>
  <r>
    <x v="1"/>
    <x v="5"/>
    <n v="4.8007355398430001"/>
    <n v="1.1062900657100001"/>
    <n v="5.5875508327350003"/>
    <n v="3.3338029333480002"/>
    <n v="4.8007355398430001"/>
    <n v="27.509380606257"/>
    <n v="6.4912510991310004"/>
    <n v="2.239720649448"/>
    <x v="0"/>
  </r>
  <r>
    <x v="2"/>
    <x v="5"/>
    <n v="3.3570677624640002"/>
    <n v="0.95046972484100001"/>
    <n v="4.8405271050519998"/>
    <n v="2.7299536252359999"/>
    <n v="3.3570677624640002"/>
    <n v="11.824535196838999"/>
    <n v="4.3222702698340001"/>
    <n v="1.7269384897240001"/>
    <x v="1"/>
  </r>
  <r>
    <x v="4"/>
    <x v="5"/>
    <n v="3.2121361767610002"/>
    <n v="0.11869210261599999"/>
    <n v="4.7382685233639998"/>
    <n v="0.37881498413199999"/>
    <n v="3.2121361767610002"/>
    <n v="24.391579907609"/>
    <n v="0.44340203253299998"/>
    <n v="0.18577074043200001"/>
    <x v="1"/>
  </r>
  <r>
    <x v="6"/>
    <x v="5"/>
    <n v="0.22814944790899999"/>
    <n v="0.119349296486"/>
    <n v="0.23277628002299999"/>
    <n v="0.348443335573"/>
    <n v="0.22814944790899999"/>
    <n v="0.88027848010300003"/>
    <n v="0.65289911181000004"/>
    <n v="0.24779565227700001"/>
    <x v="0"/>
  </r>
  <r>
    <x v="5"/>
    <x v="5"/>
    <n v="0.49219893702700002"/>
    <n v="0.43446540089399999"/>
    <n v="0.42786237912000002"/>
    <n v="1.1483936323149999"/>
    <n v="0.49219893702700002"/>
    <n v="0.65578159807400005"/>
    <n v="0.89490883568900004"/>
    <n v="0.59404261792900004"/>
    <x v="0"/>
  </r>
  <r>
    <x v="0"/>
    <x v="6"/>
    <n v="1.3250588928360001"/>
    <n v="0.42075720828399998"/>
    <n v="1.2369574703390001"/>
    <n v="1.25994881767"/>
    <n v="1.3250588928360001"/>
    <n v="5.9283066589780002"/>
    <n v="2.6176337800459999"/>
    <n v="0.90569403671899995"/>
    <x v="0"/>
  </r>
  <r>
    <x v="1"/>
    <x v="6"/>
    <n v="3.9396161650099999"/>
    <n v="1.0145454276420001"/>
    <n v="4.9335179134559999"/>
    <n v="3.0376487440450002"/>
    <n v="3.9396161650099999"/>
    <n v="23.631201067107"/>
    <n v="5.2774610432970004"/>
    <n v="1.9429866938939999"/>
    <x v="0"/>
  </r>
  <r>
    <x v="2"/>
    <x v="6"/>
    <n v="2.982437666554"/>
    <n v="0.87965501439399996"/>
    <n v="4.4464579954990002"/>
    <n v="2.5627884066119999"/>
    <n v="2.982437666554"/>
    <n v="11.203571016843"/>
    <n v="4.1379878637000003"/>
    <n v="1.6158105721880001"/>
    <x v="1"/>
  </r>
  <r>
    <x v="4"/>
    <x v="6"/>
    <n v="3.1589648975369999"/>
    <n v="0.113952589344"/>
    <n v="4.6200838633760002"/>
    <n v="0.357733400757"/>
    <n v="3.1589648975369999"/>
    <n v="24.459352591251001"/>
    <n v="0.43683027155100002"/>
    <n v="0.17925735156299999"/>
    <x v="1"/>
  </r>
  <r>
    <x v="5"/>
    <x v="6"/>
    <n v="1.297453863426"/>
    <n v="1.113176630194"/>
    <n v="0.55232377522499998"/>
    <n v="3.0693885510649999"/>
    <n v="1.297453863426"/>
    <n v="1.856286708357"/>
    <n v="1.927263817951"/>
    <n v="1.4163186666209999"/>
    <x v="0"/>
  </r>
  <r>
    <x v="0"/>
    <x v="7"/>
    <n v="1.778929132789"/>
    <n v="0.76504712030900002"/>
    <n v="1.589519247218"/>
    <n v="2.2021128057500001"/>
    <n v="1.778929132789"/>
    <n v="7.969399849787"/>
    <n v="3.9583730504979999"/>
    <n v="1.5127922931819999"/>
    <x v="0"/>
  </r>
  <r>
    <x v="1"/>
    <x v="7"/>
    <n v="3.6900632697039999"/>
    <n v="1.0431917998889999"/>
    <n v="4.5201742607090001"/>
    <n v="3.1182581922820001"/>
    <n v="3.6900632697039999"/>
    <n v="23"/>
    <n v="5.1468125947000001"/>
    <n v="1.9523432995450001"/>
    <x v="0"/>
  </r>
  <r>
    <x v="2"/>
    <x v="7"/>
    <n v="3.241799922137"/>
    <n v="0.85560146110000002"/>
    <n v="4.6561184477179998"/>
    <n v="2.5037059723519999"/>
    <n v="3.241799922137"/>
    <n v="13.131120191768"/>
    <n v="4.2990973325270003"/>
    <n v="1.6225050111620001"/>
    <x v="1"/>
  </r>
  <r>
    <x v="4"/>
    <x v="7"/>
    <n v="2.7260912551679999"/>
    <n v="7.9155875006000007E-2"/>
    <n v="4.0488534386990001"/>
    <n v="0.25659667950199999"/>
    <n v="2.7260912551679999"/>
    <n v="22"/>
    <n v="0.31493669507599997"/>
    <n v="0.12746346681599999"/>
    <x v="1"/>
  </r>
  <r>
    <x v="5"/>
    <x v="7"/>
    <n v="1.577961656294"/>
    <n v="1.4214393393060001"/>
    <n v="0.721118828263"/>
    <n v="3.7671008192180002"/>
    <n v="1.577961656294"/>
    <n v="3.1380837676479998"/>
    <n v="2.8771429454009998"/>
    <n v="1.9448769748220001"/>
    <x v="0"/>
  </r>
  <r>
    <x v="0"/>
    <x v="8"/>
    <n v="0.80018184645199997"/>
    <n v="0.293849973677"/>
    <n v="0.78520030541300001"/>
    <n v="0.86341659953100003"/>
    <n v="0.80018184645199997"/>
    <n v="4.2419714918810003"/>
    <n v="1.7000788258249999"/>
    <n v="0.60728313708500004"/>
    <x v="0"/>
  </r>
  <r>
    <x v="1"/>
    <x v="8"/>
    <n v="2.7644637571300001"/>
    <n v="0.71808528298999996"/>
    <n v="3.2264319820849998"/>
    <n v="2.1174338326790001"/>
    <n v="2.7644637571300001"/>
    <n v="20.249192945466"/>
    <n v="3.91029865434"/>
    <n v="1.4330054177489999"/>
    <x v="0"/>
  </r>
  <r>
    <x v="2"/>
    <x v="8"/>
    <n v="3.3331212926370002"/>
    <n v="0.81660426389399998"/>
    <n v="4.7465118547580003"/>
    <n v="2.4080655975759999"/>
    <n v="3.3331212926370002"/>
    <n v="16.636018336957001"/>
    <n v="4.2988829803439996"/>
    <n v="1.5782784053359999"/>
    <x v="1"/>
  </r>
  <r>
    <x v="3"/>
    <x v="8"/>
    <n v="0.28889822374099999"/>
    <n v="0.28294872000400001"/>
    <n v="0.116511924897"/>
    <n v="0.75593612184699999"/>
    <n v="0.28889822374099999"/>
    <n v="2.0241363956359999"/>
    <n v="0.93082689055000001"/>
    <n v="0.48049012224600002"/>
    <x v="0"/>
  </r>
  <r>
    <x v="4"/>
    <x v="8"/>
    <n v="1.9754191808749999"/>
    <n v="7.6315472435000004E-2"/>
    <n v="3.088506815853"/>
    <n v="0.249312777091"/>
    <n v="1.9754191808749999"/>
    <n v="17.231075580294998"/>
    <n v="0.25238752870600001"/>
    <n v="0.11295999023099999"/>
    <x v="1"/>
  </r>
  <r>
    <x v="6"/>
    <x v="8"/>
    <n v="0.402344931259"/>
    <n v="0.21000189910799999"/>
    <n v="0.31612611604200003"/>
    <n v="0.59329108824800003"/>
    <n v="0.402344931259"/>
    <n v="2.1266826305730002"/>
    <n v="0.99529623865299999"/>
    <n v="0.40589748423599997"/>
    <x v="0"/>
  </r>
  <r>
    <x v="5"/>
    <x v="8"/>
    <n v="1.1250593031659999"/>
    <n v="1.00499528371"/>
    <n v="0.69803470418900004"/>
    <n v="2.7737223151869999"/>
    <n v="1.1250593031659999"/>
    <n v="2.1151245011549999"/>
    <n v="1.889082229657"/>
    <n v="1.3191580107600001"/>
    <x v="0"/>
  </r>
  <r>
    <x v="0"/>
    <x v="9"/>
    <n v="0.94319354149800005"/>
    <n v="0.56496799973900003"/>
    <n v="0.85283258528999994"/>
    <n v="1.576842262003"/>
    <n v="0.94319354149800005"/>
    <n v="4.4017110902379999"/>
    <n v="2.4907903474380002"/>
    <n v="1.064768213827"/>
    <x v="0"/>
  </r>
  <r>
    <x v="1"/>
    <x v="9"/>
    <n v="0.62987064492099998"/>
    <n v="0.29601683597900003"/>
    <n v="0.549050424147"/>
    <n v="0.87743153656999995"/>
    <n v="0.62987064492099998"/>
    <n v="3.4801082824099998"/>
    <n v="1.695246897628"/>
    <n v="0.60733502404600004"/>
    <x v="0"/>
  </r>
  <r>
    <x v="2"/>
    <x v="9"/>
    <n v="3.5765879131879998"/>
    <n v="1.057082895692"/>
    <n v="5.0837479362450004"/>
    <n v="3.0515131189670002"/>
    <n v="3.5765879131879998"/>
    <n v="19.706868532319"/>
    <n v="4.8289252404000003"/>
    <n v="1.9223637764849999"/>
    <x v="1"/>
  </r>
  <r>
    <x v="3"/>
    <x v="9"/>
    <n v="0.38470227427300002"/>
    <n v="0.105785255979"/>
    <n v="0.36932982924500002"/>
    <n v="0.33400675936200003"/>
    <n v="0.38470227427300002"/>
    <n v="2.1737759515559998"/>
    <n v="0.82296795584899995"/>
    <n v="0.247557097098"/>
    <x v="0"/>
  </r>
  <r>
    <x v="4"/>
    <x v="9"/>
    <n v="0.19994705277399999"/>
    <n v="1.2286756772E-2"/>
    <n v="0.34596368904300001"/>
    <n v="4.1890141895000003E-2"/>
    <n v="0.19994705277399999"/>
    <n v="1.124485636438"/>
    <n v="2.4998247772999999E-2"/>
    <n v="1.5056659227E-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B9" firstHeaderRow="1" firstDataRow="1" firstDataCol="1"/>
  <pivotFields count="11">
    <pivotField axis="axisRow" showAll="0">
      <items count="8">
        <item x="0"/>
        <item x="1"/>
        <item x="2"/>
        <item x="3"/>
        <item x="4"/>
        <item x="6"/>
        <item x="5"/>
        <item t="default"/>
      </items>
    </pivotField>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pivotField showAll="0"/>
    <pivotField showAll="0">
      <items count="3">
        <item x="0"/>
        <item x="1"/>
        <item t="default"/>
      </items>
    </pivotField>
  </pivotFields>
  <rowFields count="1">
    <field x="0"/>
  </rowFields>
  <rowItems count="8">
    <i>
      <x/>
    </i>
    <i>
      <x v="1"/>
    </i>
    <i>
      <x v="2"/>
    </i>
    <i>
      <x v="3"/>
    </i>
    <i>
      <x v="4"/>
    </i>
    <i>
      <x v="5"/>
    </i>
    <i>
      <x v="6"/>
    </i>
    <i t="grand">
      <x/>
    </i>
  </rowItems>
  <colItems count="1">
    <i/>
  </colItems>
  <dataFields count="1">
    <dataField name="Sum of total_spr" fld="2" baseField="0" baseItem="0"/>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E11:G19" firstHeaderRow="0" firstDataRow="1" firstDataCol="1"/>
  <pivotFields count="11">
    <pivotField axis="axisRow" showAll="0">
      <items count="8">
        <item x="0"/>
        <item x="1"/>
        <item x="2"/>
        <item x="3"/>
        <item x="4"/>
        <item x="6"/>
        <item x="5"/>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dataField="1" showAll="0"/>
    <pivotField showAll="0">
      <items count="3">
        <item x="0"/>
        <item x="1"/>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Sum of total_headcount" fld="8" baseField="0" baseItem="0"/>
    <dataField name="Sum of total_gap" fld="9" baseField="0" baseItem="0"/>
  </dataFields>
  <chartFormats count="2">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1:C19" firstHeaderRow="0" firstDataRow="1" firstDataCol="1"/>
  <pivotFields count="11">
    <pivotField axis="axisRow" showAll="0">
      <items count="8">
        <item x="0"/>
        <item x="1"/>
        <item x="2"/>
        <item x="3"/>
        <item x="4"/>
        <item x="6"/>
        <item x="5"/>
        <item t="default"/>
      </items>
    </pivotField>
    <pivotField showAll="0">
      <items count="11">
        <item x="0"/>
        <item x="1"/>
        <item x="2"/>
        <item x="3"/>
        <item x="4"/>
        <item x="5"/>
        <item x="6"/>
        <item x="7"/>
        <item x="8"/>
        <item x="9"/>
        <item t="default"/>
      </items>
    </pivotField>
    <pivotField showAll="0"/>
    <pivotField showAll="0"/>
    <pivotField showAll="0"/>
    <pivotField showAll="0"/>
    <pivotField dataField="1" showAll="0"/>
    <pivotField dataField="1" showAll="0"/>
    <pivotField showAll="0"/>
    <pivotField showAll="0"/>
    <pivotField showAll="0">
      <items count="3">
        <item x="0"/>
        <item x="1"/>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Sum of avg_spr_per_year" fld="6" baseField="0" baseItem="0"/>
    <dataField name="Sum of avg_cpi_per_year" fld="7"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E1:H9" firstHeaderRow="0" firstDataRow="1" firstDataCol="1"/>
  <pivotFields count="11">
    <pivotField axis="axisRow" showAll="0">
      <items count="8">
        <item x="0"/>
        <item x="1"/>
        <item x="2"/>
        <item x="3"/>
        <item x="4"/>
        <item x="6"/>
        <item x="5"/>
        <item t="default"/>
      </items>
    </pivotField>
    <pivotField showAll="0">
      <items count="11">
        <item x="0"/>
        <item x="1"/>
        <item x="2"/>
        <item x="3"/>
        <item x="4"/>
        <item x="5"/>
        <item x="6"/>
        <item x="7"/>
        <item x="8"/>
        <item x="9"/>
        <item t="default"/>
      </items>
    </pivotField>
    <pivotField showAll="0"/>
    <pivotField dataField="1" showAll="0"/>
    <pivotField dataField="1" showAll="0"/>
    <pivotField dataField="1" showAll="0"/>
    <pivotField showAll="0"/>
    <pivotField showAll="0"/>
    <pivotField showAll="0"/>
    <pivotField showAll="0"/>
    <pivotField showAll="0">
      <items count="3">
        <item x="0"/>
        <item x="1"/>
        <item t="default"/>
      </items>
    </pivotField>
  </pivotFields>
  <rowFields count="1">
    <field x="0"/>
  </rowFields>
  <rowItems count="8">
    <i>
      <x/>
    </i>
    <i>
      <x v="1"/>
    </i>
    <i>
      <x v="2"/>
    </i>
    <i>
      <x v="3"/>
    </i>
    <i>
      <x v="4"/>
    </i>
    <i>
      <x v="5"/>
    </i>
    <i>
      <x v="6"/>
    </i>
    <i t="grand">
      <x/>
    </i>
  </rowItems>
  <colFields count="1">
    <field x="-2"/>
  </colFields>
  <colItems count="3">
    <i>
      <x/>
    </i>
    <i i="1">
      <x v="1"/>
    </i>
    <i i="2">
      <x v="2"/>
    </i>
  </colItems>
  <dataFields count="3">
    <dataField name="Sum of total_severity" fld="3" baseField="0" baseItem="0"/>
    <dataField name="Sum of total_mld" fld="4" baseField="0" baseItem="0"/>
    <dataField name="Sum of total_watts" fld="5" baseField="0"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2">
    <queryTableFields count="11">
      <queryTableField id="1" name="region" tableColumnId="12"/>
      <queryTableField id="2" name="years" tableColumnId="2"/>
      <queryTableField id="3" name="total_spr" tableColumnId="3"/>
      <queryTableField id="4" name="total_severity" tableColumnId="4"/>
      <queryTableField id="5" name="total_mld" tableColumnId="5"/>
      <queryTableField id="6" name="total_watts" tableColumnId="6"/>
      <queryTableField id="7" name="avg_spr_per_year" tableColumnId="7"/>
      <queryTableField id="8" name="avg_cpi_per_year" tableColumnId="8"/>
      <queryTableField id="9" name="total_headcount" tableColumnId="9"/>
      <queryTableField id="10" name="total_gap" tableColumnId="10"/>
      <queryTableField id="11" name="welfare_typ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0132E76-C27F-4973-AC82-6FFFBDE5B7E8}" sourceName="years">
  <pivotTables>
    <pivotTable tabId="3" name="PivotTable1"/>
    <pivotTable tabId="3" name="PivotTable2"/>
    <pivotTable tabId="3" name="PivotTable3"/>
    <pivotTable tabId="3" name="PivotTable4"/>
  </pivotTables>
  <data>
    <tabular pivotCacheId="916904161">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lfare_type" xr10:uid="{713BAD2C-FD8A-43BC-BD15-CE2F363EC581}" sourceName="welfare_type">
  <pivotTables>
    <pivotTable tabId="3" name="PivotTable1"/>
    <pivotTable tabId="3" name="PivotTable2"/>
    <pivotTable tabId="3" name="PivotTable3"/>
    <pivotTable tabId="3" name="PivotTable4"/>
  </pivotTables>
  <data>
    <tabular pivotCacheId="9169041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61FA93A-6890-40D0-AF67-E57BBCDBD953}" cache="Slicer_years" caption="years" columnCount="5" rowHeight="241300"/>
  <slicer name="welfare_type" xr10:uid="{9F56A1B0-41F4-4773-8996-47C3F2171C04}" cache="Slicer_welfare_type" caption="welfare_type" columnCoun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59" totalsRowShown="0" headerRowDxfId="25" dataDxfId="23" headerRowBorderDxfId="24" tableBorderDxfId="22" totalsRowBorderDxfId="21">
  <autoFilter ref="A1:S59" xr:uid="{00000000-0009-0000-0100-000001000000}"/>
  <tableColumns count="19">
    <tableColumn id="1" xr3:uid="{00000000-0010-0000-0000-000001000000}" name="region" dataDxfId="20"/>
    <tableColumn id="2" xr3:uid="{00000000-0010-0000-0000-000002000000}" name="years" dataDxfId="19"/>
    <tableColumn id="3" xr3:uid="{00000000-0010-0000-0000-000003000000}" name="total_spr" dataDxfId="18"/>
    <tableColumn id="4" xr3:uid="{00000000-0010-0000-0000-000004000000}" name="region2" dataDxfId="17"/>
    <tableColumn id="5" xr3:uid="{00000000-0010-0000-0000-000005000000}" name="years3" dataDxfId="16"/>
    <tableColumn id="6" xr3:uid="{00000000-0010-0000-0000-000006000000}" name="total_severity" dataDxfId="15"/>
    <tableColumn id="7" xr3:uid="{00000000-0010-0000-0000-000007000000}" name="total_mld" dataDxfId="14"/>
    <tableColumn id="8" xr3:uid="{00000000-0010-0000-0000-000008000000}" name="total_watts" dataDxfId="13"/>
    <tableColumn id="9" xr3:uid="{00000000-0010-0000-0000-000009000000}" name="region4" dataDxfId="12"/>
    <tableColumn id="10" xr3:uid="{00000000-0010-0000-0000-00000A000000}" name="years5" dataDxfId="11"/>
    <tableColumn id="11" xr3:uid="{00000000-0010-0000-0000-00000B000000}" name="avg_spr_per_year" dataDxfId="10"/>
    <tableColumn id="12" xr3:uid="{00000000-0010-0000-0000-00000C000000}" name="avg_cpi_per_year" dataDxfId="9"/>
    <tableColumn id="13" xr3:uid="{00000000-0010-0000-0000-00000D000000}" name="region6" dataDxfId="8"/>
    <tableColumn id="14" xr3:uid="{00000000-0010-0000-0000-00000E000000}" name="years7" dataDxfId="7"/>
    <tableColumn id="15" xr3:uid="{00000000-0010-0000-0000-00000F000000}" name="total_headcount" dataDxfId="6"/>
    <tableColumn id="16" xr3:uid="{00000000-0010-0000-0000-000010000000}" name="total_gap" dataDxfId="5"/>
    <tableColumn id="17" xr3:uid="{00000000-0010-0000-0000-000011000000}" name="region8" dataDxfId="4"/>
    <tableColumn id="18" xr3:uid="{00000000-0010-0000-0000-000012000000}" name="years9" dataDxfId="3"/>
    <tableColumn id="19" xr3:uid="{00000000-0010-0000-0000-000013000000}" name="welfare_typ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K59" tableType="queryTable" totalsRowShown="0">
  <autoFilter ref="A1:K59" xr:uid="{00000000-0009-0000-0100-000002000000}"/>
  <tableColumns count="11">
    <tableColumn id="12" xr3:uid="{00000000-0010-0000-0100-00000C000000}" uniqueName="12" name="region" queryTableFieldId="1" dataDxfId="1"/>
    <tableColumn id="2" xr3:uid="{00000000-0010-0000-0100-000002000000}" uniqueName="2" name="years" queryTableFieldId="2"/>
    <tableColumn id="3" xr3:uid="{00000000-0010-0000-0100-000003000000}" uniqueName="3" name="total_spr" queryTableFieldId="3"/>
    <tableColumn id="4" xr3:uid="{00000000-0010-0000-0100-000004000000}" uniqueName="4" name="total_severity" queryTableFieldId="4"/>
    <tableColumn id="5" xr3:uid="{00000000-0010-0000-0100-000005000000}" uniqueName="5" name="total_mld" queryTableFieldId="5"/>
    <tableColumn id="6" xr3:uid="{00000000-0010-0000-0100-000006000000}" uniqueName="6" name="total_watts" queryTableFieldId="6"/>
    <tableColumn id="7" xr3:uid="{00000000-0010-0000-0100-000007000000}" uniqueName="7" name="avg_spr_per_year" queryTableFieldId="7"/>
    <tableColumn id="8" xr3:uid="{00000000-0010-0000-0100-000008000000}" uniqueName="8" name="avg_cpi_per_year" queryTableFieldId="8"/>
    <tableColumn id="9" xr3:uid="{00000000-0010-0000-0100-000009000000}" uniqueName="9" name="total_headcount" queryTableFieldId="9"/>
    <tableColumn id="10" xr3:uid="{00000000-0010-0000-0100-00000A000000}" uniqueName="10" name="total_gap" queryTableFieldId="10"/>
    <tableColumn id="11" xr3:uid="{00000000-0010-0000-0100-00000B000000}" uniqueName="11" name="welfare_type"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0000"/>
      </a:dk2>
      <a:lt2>
        <a:srgbClr val="E7E6E6"/>
      </a:lt2>
      <a:accent1>
        <a:srgbClr val="3F3F3F"/>
      </a:accent1>
      <a:accent2>
        <a:srgbClr val="BFBFBF"/>
      </a:accent2>
      <a:accent3>
        <a:srgbClr val="3F3F3F"/>
      </a:accent3>
      <a:accent4>
        <a:srgbClr val="BFBFBF"/>
      </a:accent4>
      <a:accent5>
        <a:srgbClr val="3F3F3F"/>
      </a:accent5>
      <a:accent6>
        <a:srgbClr val="BFBFBF"/>
      </a:accent6>
      <a:hlink>
        <a:srgbClr val="621C1E"/>
      </a:hlink>
      <a:folHlink>
        <a:srgbClr val="621C1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9"/>
  <sheetViews>
    <sheetView workbookViewId="0">
      <selection activeCell="E9" sqref="E9"/>
    </sheetView>
  </sheetViews>
  <sheetFormatPr defaultRowHeight="14.5" x14ac:dyDescent="0.35"/>
  <cols>
    <col min="3" max="3" width="10.453125" customWidth="1"/>
    <col min="4" max="4" width="9.08984375" customWidth="1"/>
    <col min="6" max="6" width="14.36328125" customWidth="1"/>
    <col min="7" max="7" width="11" customWidth="1"/>
    <col min="8" max="8" width="12.54296875" customWidth="1"/>
    <col min="9" max="9" width="9.08984375" customWidth="1"/>
    <col min="11" max="11" width="17.7265625" customWidth="1"/>
    <col min="12" max="12" width="17.453125" customWidth="1"/>
    <col min="13" max="13" width="9.08984375" customWidth="1"/>
    <col min="15" max="15" width="16.81640625" customWidth="1"/>
    <col min="16" max="16" width="10.81640625" customWidth="1"/>
    <col min="17" max="17" width="9.08984375" customWidth="1"/>
    <col min="19" max="19" width="13.81640625" customWidth="1"/>
  </cols>
  <sheetData>
    <row r="1" spans="1:19" ht="29" x14ac:dyDescent="0.35">
      <c r="A1" s="4" t="s">
        <v>0</v>
      </c>
      <c r="B1" s="5" t="s">
        <v>1</v>
      </c>
      <c r="C1" s="5" t="s">
        <v>2</v>
      </c>
      <c r="D1" s="5" t="s">
        <v>20</v>
      </c>
      <c r="E1" s="5" t="s">
        <v>21</v>
      </c>
      <c r="F1" s="5" t="s">
        <v>10</v>
      </c>
      <c r="G1" s="5" t="s">
        <v>11</v>
      </c>
      <c r="H1" s="5" t="s">
        <v>12</v>
      </c>
      <c r="I1" s="5" t="s">
        <v>22</v>
      </c>
      <c r="J1" s="5" t="s">
        <v>23</v>
      </c>
      <c r="K1" s="5" t="s">
        <v>13</v>
      </c>
      <c r="L1" s="5" t="s">
        <v>14</v>
      </c>
      <c r="M1" s="5" t="s">
        <v>24</v>
      </c>
      <c r="N1" s="5" t="s">
        <v>25</v>
      </c>
      <c r="O1" s="5" t="s">
        <v>15</v>
      </c>
      <c r="P1" s="5" t="s">
        <v>16</v>
      </c>
      <c r="Q1" s="5" t="s">
        <v>26</v>
      </c>
      <c r="R1" s="5" t="s">
        <v>27</v>
      </c>
      <c r="S1" s="6" t="s">
        <v>17</v>
      </c>
    </row>
    <row r="2" spans="1:19" ht="39" x14ac:dyDescent="0.35">
      <c r="A2" s="2" t="s">
        <v>3</v>
      </c>
      <c r="B2" s="1">
        <v>2014</v>
      </c>
      <c r="C2" s="1">
        <v>2.2191988316220002</v>
      </c>
      <c r="D2" s="1" t="s">
        <v>3</v>
      </c>
      <c r="E2" s="1">
        <v>2014</v>
      </c>
      <c r="F2" s="1">
        <v>1.2752058838889999</v>
      </c>
      <c r="G2" s="1">
        <v>1.640725316805</v>
      </c>
      <c r="H2" s="1">
        <v>3.4738451111169999</v>
      </c>
      <c r="I2" s="1" t="s">
        <v>3</v>
      </c>
      <c r="J2" s="1">
        <v>2014</v>
      </c>
      <c r="K2" s="1">
        <v>2.2191988316220002</v>
      </c>
      <c r="L2" s="1">
        <v>6.8181787882820002</v>
      </c>
      <c r="M2" s="1" t="s">
        <v>3</v>
      </c>
      <c r="N2" s="1">
        <v>2014</v>
      </c>
      <c r="O2" s="1">
        <v>4.858163574073</v>
      </c>
      <c r="P2" s="1">
        <v>2.2128917129049999</v>
      </c>
      <c r="Q2" s="1" t="s">
        <v>3</v>
      </c>
      <c r="R2" s="1">
        <v>2014</v>
      </c>
      <c r="S2" s="3" t="s">
        <v>18</v>
      </c>
    </row>
    <row r="3" spans="1:19" ht="52" x14ac:dyDescent="0.35">
      <c r="A3" s="2" t="s">
        <v>4</v>
      </c>
      <c r="B3" s="1">
        <v>2014</v>
      </c>
      <c r="C3" s="1">
        <v>5.0603249860780002</v>
      </c>
      <c r="D3" s="1" t="s">
        <v>4</v>
      </c>
      <c r="E3" s="1">
        <v>2014</v>
      </c>
      <c r="F3" s="1">
        <v>1.500451204899</v>
      </c>
      <c r="G3" s="1">
        <v>5.4813522776749997</v>
      </c>
      <c r="H3" s="1">
        <v>4.4460877689610001</v>
      </c>
      <c r="I3" s="1" t="s">
        <v>4</v>
      </c>
      <c r="J3" s="1">
        <v>2014</v>
      </c>
      <c r="K3" s="1">
        <v>5.0603249860780002</v>
      </c>
      <c r="L3" s="1">
        <v>24.496743607656001</v>
      </c>
      <c r="M3" s="1" t="s">
        <v>4</v>
      </c>
      <c r="N3" s="1">
        <v>2014</v>
      </c>
      <c r="O3" s="1">
        <v>8.0910758196980002</v>
      </c>
      <c r="P3" s="1">
        <v>2.9335620068770001</v>
      </c>
      <c r="Q3" s="1" t="s">
        <v>4</v>
      </c>
      <c r="R3" s="1">
        <v>2014</v>
      </c>
      <c r="S3" s="3" t="s">
        <v>18</v>
      </c>
    </row>
    <row r="4" spans="1:19" ht="65" x14ac:dyDescent="0.35">
      <c r="A4" s="2" t="s">
        <v>5</v>
      </c>
      <c r="B4" s="1">
        <v>2014</v>
      </c>
      <c r="C4" s="1">
        <v>4.3558217882649997</v>
      </c>
      <c r="D4" s="1" t="s">
        <v>5</v>
      </c>
      <c r="E4" s="1">
        <v>2014</v>
      </c>
      <c r="F4" s="1">
        <v>1.530329384853</v>
      </c>
      <c r="G4" s="1">
        <v>6.3567429864209997</v>
      </c>
      <c r="H4" s="1">
        <v>4.3293569610090001</v>
      </c>
      <c r="I4" s="1" t="s">
        <v>5</v>
      </c>
      <c r="J4" s="1">
        <v>2014</v>
      </c>
      <c r="K4" s="1">
        <v>4.3558217882649997</v>
      </c>
      <c r="L4" s="1">
        <v>12.217684467844</v>
      </c>
      <c r="M4" s="1" t="s">
        <v>5</v>
      </c>
      <c r="N4" s="1">
        <v>2014</v>
      </c>
      <c r="O4" s="1">
        <v>6.5281824141160003</v>
      </c>
      <c r="P4" s="1">
        <v>2.7316627576679999</v>
      </c>
      <c r="Q4" s="1" t="s">
        <v>5</v>
      </c>
      <c r="R4" s="1">
        <v>2014</v>
      </c>
      <c r="S4" s="3" t="s">
        <v>19</v>
      </c>
    </row>
    <row r="5" spans="1:19" ht="52" x14ac:dyDescent="0.35">
      <c r="A5" s="2" t="s">
        <v>6</v>
      </c>
      <c r="B5" s="1">
        <v>2014</v>
      </c>
      <c r="C5" s="1">
        <v>0.38025014367999999</v>
      </c>
      <c r="D5" s="1" t="s">
        <v>6</v>
      </c>
      <c r="E5" s="1">
        <v>2014</v>
      </c>
      <c r="F5" s="1">
        <v>0.36611870909400002</v>
      </c>
      <c r="G5" s="1">
        <v>0.22201066480199999</v>
      </c>
      <c r="H5" s="1">
        <v>0.95305143808600001</v>
      </c>
      <c r="I5" s="1" t="s">
        <v>6</v>
      </c>
      <c r="J5" s="1">
        <v>2014</v>
      </c>
      <c r="K5" s="1">
        <v>0.38025014367999999</v>
      </c>
      <c r="L5" s="1">
        <v>0.20953410702700001</v>
      </c>
      <c r="M5" s="1" t="s">
        <v>6</v>
      </c>
      <c r="N5" s="1">
        <v>2014</v>
      </c>
      <c r="O5" s="1">
        <v>0.92159822462800001</v>
      </c>
      <c r="P5" s="1">
        <v>0.550853236749</v>
      </c>
      <c r="Q5" s="1" t="s">
        <v>6</v>
      </c>
      <c r="R5" s="1">
        <v>2014</v>
      </c>
      <c r="S5" s="3" t="s">
        <v>18</v>
      </c>
    </row>
    <row r="6" spans="1:19" ht="65" x14ac:dyDescent="0.35">
      <c r="A6" s="2" t="s">
        <v>7</v>
      </c>
      <c r="B6" s="1">
        <v>2014</v>
      </c>
      <c r="C6" s="1">
        <v>3.3846584178689998</v>
      </c>
      <c r="D6" s="1" t="s">
        <v>7</v>
      </c>
      <c r="E6" s="1">
        <v>2014</v>
      </c>
      <c r="F6" s="1">
        <v>0.15264457340900001</v>
      </c>
      <c r="G6" s="1">
        <v>4.9645808361299997</v>
      </c>
      <c r="H6" s="1">
        <v>0.48027833635299999</v>
      </c>
      <c r="I6" s="1" t="s">
        <v>7</v>
      </c>
      <c r="J6" s="1">
        <v>2014</v>
      </c>
      <c r="K6" s="1">
        <v>3.3846584178689998</v>
      </c>
      <c r="L6" s="1">
        <v>24.09286436308</v>
      </c>
      <c r="M6" s="1" t="s">
        <v>7</v>
      </c>
      <c r="N6" s="1">
        <v>2014</v>
      </c>
      <c r="O6" s="1">
        <v>0.633750535527</v>
      </c>
      <c r="P6" s="1">
        <v>0.25100872087100001</v>
      </c>
      <c r="Q6" s="1" t="s">
        <v>7</v>
      </c>
      <c r="R6" s="1">
        <v>2014</v>
      </c>
      <c r="S6" s="3" t="s">
        <v>19</v>
      </c>
    </row>
    <row r="7" spans="1:19" ht="39" x14ac:dyDescent="0.35">
      <c r="A7" s="2" t="s">
        <v>8</v>
      </c>
      <c r="B7" s="1">
        <v>2014</v>
      </c>
      <c r="C7" s="1">
        <v>2.8680138611510002</v>
      </c>
      <c r="D7" s="1" t="s">
        <v>8</v>
      </c>
      <c r="E7" s="1">
        <v>2014</v>
      </c>
      <c r="F7" s="1">
        <v>2.3969058614869998</v>
      </c>
      <c r="G7" s="1">
        <v>1.694994665711</v>
      </c>
      <c r="H7" s="1">
        <v>6.3435356205079998</v>
      </c>
      <c r="I7" s="1" t="s">
        <v>8</v>
      </c>
      <c r="J7" s="1">
        <v>2014</v>
      </c>
      <c r="K7" s="1">
        <v>2.8680138611510002</v>
      </c>
      <c r="L7" s="1">
        <v>4.8782689353380002</v>
      </c>
      <c r="M7" s="1" t="s">
        <v>8</v>
      </c>
      <c r="N7" s="1">
        <v>2014</v>
      </c>
      <c r="O7" s="1">
        <v>6.1476466256449998</v>
      </c>
      <c r="P7" s="1">
        <v>3.5742688843039998</v>
      </c>
      <c r="Q7" s="1" t="s">
        <v>8</v>
      </c>
      <c r="R7" s="1">
        <v>2014</v>
      </c>
      <c r="S7" s="3" t="s">
        <v>18</v>
      </c>
    </row>
    <row r="8" spans="1:19" ht="39" x14ac:dyDescent="0.35">
      <c r="A8" s="2" t="s">
        <v>3</v>
      </c>
      <c r="B8" s="1">
        <v>2015</v>
      </c>
      <c r="C8" s="1">
        <v>2.504953926582</v>
      </c>
      <c r="D8" s="1" t="s">
        <v>3</v>
      </c>
      <c r="E8" s="1">
        <v>2015</v>
      </c>
      <c r="F8" s="1">
        <v>1.505329074152</v>
      </c>
      <c r="G8" s="1">
        <v>2.128407900824</v>
      </c>
      <c r="H8" s="1">
        <v>4.1217915013570003</v>
      </c>
      <c r="I8" s="1" t="s">
        <v>3</v>
      </c>
      <c r="J8" s="1">
        <v>2015</v>
      </c>
      <c r="K8" s="1">
        <v>2.504953926582</v>
      </c>
      <c r="L8" s="1">
        <v>7.6005979484140003</v>
      </c>
      <c r="M8" s="1" t="s">
        <v>3</v>
      </c>
      <c r="N8" s="1">
        <v>2015</v>
      </c>
      <c r="O8" s="1">
        <v>5.9181704106510002</v>
      </c>
      <c r="P8" s="1">
        <v>2.6754540963219999</v>
      </c>
      <c r="Q8" s="1" t="s">
        <v>3</v>
      </c>
      <c r="R8" s="1">
        <v>2015</v>
      </c>
      <c r="S8" s="3" t="s">
        <v>18</v>
      </c>
    </row>
    <row r="9" spans="1:19" ht="52" x14ac:dyDescent="0.35">
      <c r="A9" s="2" t="s">
        <v>4</v>
      </c>
      <c r="B9" s="1">
        <v>2015</v>
      </c>
      <c r="C9" s="1">
        <v>5.224784736208</v>
      </c>
      <c r="D9" s="1" t="s">
        <v>4</v>
      </c>
      <c r="E9" s="1">
        <v>2015</v>
      </c>
      <c r="F9" s="1">
        <v>1.6433281054669999</v>
      </c>
      <c r="G9" s="1">
        <v>5.5598100197000004</v>
      </c>
      <c r="H9" s="1">
        <v>4.8389295937150001</v>
      </c>
      <c r="I9" s="1" t="s">
        <v>4</v>
      </c>
      <c r="J9" s="1">
        <v>2015</v>
      </c>
      <c r="K9" s="1">
        <v>5.224784736208</v>
      </c>
      <c r="L9" s="1">
        <v>23.704685104056999</v>
      </c>
      <c r="M9" s="1" t="s">
        <v>4</v>
      </c>
      <c r="N9" s="1">
        <v>2015</v>
      </c>
      <c r="O9" s="1">
        <v>8.7025493303319994</v>
      </c>
      <c r="P9" s="1">
        <v>3.2000841506579998</v>
      </c>
      <c r="Q9" s="1" t="s">
        <v>4</v>
      </c>
      <c r="R9" s="1">
        <v>2015</v>
      </c>
      <c r="S9" s="3" t="s">
        <v>18</v>
      </c>
    </row>
    <row r="10" spans="1:19" ht="65" x14ac:dyDescent="0.35">
      <c r="A10" s="2" t="s">
        <v>5</v>
      </c>
      <c r="B10" s="1">
        <v>2015</v>
      </c>
      <c r="C10" s="1">
        <v>3.4109419715609999</v>
      </c>
      <c r="D10" s="1" t="s">
        <v>5</v>
      </c>
      <c r="E10" s="1">
        <v>2015</v>
      </c>
      <c r="F10" s="1">
        <v>1.09256436921</v>
      </c>
      <c r="G10" s="1">
        <v>5.1044017623410003</v>
      </c>
      <c r="H10" s="1">
        <v>3.1168237798840002</v>
      </c>
      <c r="I10" s="1" t="s">
        <v>5</v>
      </c>
      <c r="J10" s="1">
        <v>2015</v>
      </c>
      <c r="K10" s="1">
        <v>3.4109419715609999</v>
      </c>
      <c r="L10" s="1">
        <v>10.991177406584001</v>
      </c>
      <c r="M10" s="1" t="s">
        <v>5</v>
      </c>
      <c r="N10" s="1">
        <v>2015</v>
      </c>
      <c r="O10" s="1">
        <v>4.7699937064690001</v>
      </c>
      <c r="P10" s="1">
        <v>1.955497968065</v>
      </c>
      <c r="Q10" s="1" t="s">
        <v>5</v>
      </c>
      <c r="R10" s="1">
        <v>2015</v>
      </c>
      <c r="S10" s="3" t="s">
        <v>19</v>
      </c>
    </row>
    <row r="11" spans="1:19" ht="52" x14ac:dyDescent="0.35">
      <c r="A11" s="2" t="s">
        <v>6</v>
      </c>
      <c r="B11" s="1">
        <v>2015</v>
      </c>
      <c r="C11" s="1">
        <v>0.166200464623</v>
      </c>
      <c r="D11" s="1" t="s">
        <v>6</v>
      </c>
      <c r="E11" s="1">
        <v>2015</v>
      </c>
      <c r="F11" s="1">
        <v>0.106182274142</v>
      </c>
      <c r="G11" s="1">
        <v>0.16979732300299999</v>
      </c>
      <c r="H11" s="1">
        <v>0.32797872317299998</v>
      </c>
      <c r="I11" s="1" t="s">
        <v>6</v>
      </c>
      <c r="J11" s="1">
        <v>2015</v>
      </c>
      <c r="K11" s="1">
        <v>0.166200464623</v>
      </c>
      <c r="L11" s="1">
        <v>0.49158494412600001</v>
      </c>
      <c r="M11" s="1" t="s">
        <v>6</v>
      </c>
      <c r="N11" s="1">
        <v>2015</v>
      </c>
      <c r="O11" s="1">
        <v>0.71774135093900004</v>
      </c>
      <c r="P11" s="1">
        <v>0.24393538258299999</v>
      </c>
      <c r="Q11" s="1" t="s">
        <v>6</v>
      </c>
      <c r="R11" s="1">
        <v>2015</v>
      </c>
      <c r="S11" s="3" t="s">
        <v>18</v>
      </c>
    </row>
    <row r="12" spans="1:19" ht="65" x14ac:dyDescent="0.35">
      <c r="A12" s="2" t="s">
        <v>7</v>
      </c>
      <c r="B12" s="1">
        <v>2015</v>
      </c>
      <c r="C12" s="1">
        <v>3.1692739374809999</v>
      </c>
      <c r="D12" s="1" t="s">
        <v>7</v>
      </c>
      <c r="E12" s="1">
        <v>2015</v>
      </c>
      <c r="F12" s="1">
        <v>0.14771195859299999</v>
      </c>
      <c r="G12" s="1">
        <v>4.6421137630690001</v>
      </c>
      <c r="H12" s="1">
        <v>0.46604959765600001</v>
      </c>
      <c r="I12" s="1" t="s">
        <v>7</v>
      </c>
      <c r="J12" s="1">
        <v>2015</v>
      </c>
      <c r="K12" s="1">
        <v>3.1692739374809999</v>
      </c>
      <c r="L12" s="1">
        <v>22.320934711909</v>
      </c>
      <c r="M12" s="1" t="s">
        <v>7</v>
      </c>
      <c r="N12" s="1">
        <v>2015</v>
      </c>
      <c r="O12" s="1">
        <v>0.56942558674599997</v>
      </c>
      <c r="P12" s="1">
        <v>0.234558560645</v>
      </c>
      <c r="Q12" s="1" t="s">
        <v>7</v>
      </c>
      <c r="R12" s="1">
        <v>2015</v>
      </c>
      <c r="S12" s="3" t="s">
        <v>19</v>
      </c>
    </row>
    <row r="13" spans="1:19" ht="39" x14ac:dyDescent="0.35">
      <c r="A13" s="2" t="s">
        <v>8</v>
      </c>
      <c r="B13" s="1">
        <v>2015</v>
      </c>
      <c r="C13" s="1">
        <v>2.7502919770980001</v>
      </c>
      <c r="D13" s="1" t="s">
        <v>8</v>
      </c>
      <c r="E13" s="1">
        <v>2015</v>
      </c>
      <c r="F13" s="1">
        <v>2.334991814905</v>
      </c>
      <c r="G13" s="1">
        <v>1.9125267846330001</v>
      </c>
      <c r="H13" s="1">
        <v>6.4715827513770003</v>
      </c>
      <c r="I13" s="1" t="s">
        <v>8</v>
      </c>
      <c r="J13" s="1">
        <v>2015</v>
      </c>
      <c r="K13" s="1">
        <v>2.7502919770980001</v>
      </c>
      <c r="L13" s="1">
        <v>4.2433233690560002</v>
      </c>
      <c r="M13" s="1" t="s">
        <v>8</v>
      </c>
      <c r="N13" s="1">
        <v>2015</v>
      </c>
      <c r="O13" s="1">
        <v>4.523541416364</v>
      </c>
      <c r="P13" s="1">
        <v>3.0876836099239999</v>
      </c>
      <c r="Q13" s="1" t="s">
        <v>8</v>
      </c>
      <c r="R13" s="1">
        <v>2015</v>
      </c>
      <c r="S13" s="3" t="s">
        <v>18</v>
      </c>
    </row>
    <row r="14" spans="1:19" ht="39" x14ac:dyDescent="0.35">
      <c r="A14" s="2" t="s">
        <v>3</v>
      </c>
      <c r="B14" s="1">
        <v>2016</v>
      </c>
      <c r="C14" s="1">
        <v>1.7071599805069999</v>
      </c>
      <c r="D14" s="1" t="s">
        <v>3</v>
      </c>
      <c r="E14" s="1">
        <v>2016</v>
      </c>
      <c r="F14" s="1">
        <v>0.71163940640800005</v>
      </c>
      <c r="G14" s="1">
        <v>1.4647712381189999</v>
      </c>
      <c r="H14" s="1">
        <v>2.0416755183199999</v>
      </c>
      <c r="I14" s="1" t="s">
        <v>3</v>
      </c>
      <c r="J14" s="1">
        <v>2016</v>
      </c>
      <c r="K14" s="1">
        <v>1.7071599805069999</v>
      </c>
      <c r="L14" s="1">
        <v>6.1399542106869998</v>
      </c>
      <c r="M14" s="1" t="s">
        <v>3</v>
      </c>
      <c r="N14" s="1">
        <v>2016</v>
      </c>
      <c r="O14" s="1">
        <v>3.6556832356640001</v>
      </c>
      <c r="P14" s="1">
        <v>1.4052976514340001</v>
      </c>
      <c r="Q14" s="1" t="s">
        <v>3</v>
      </c>
      <c r="R14" s="1">
        <v>2016</v>
      </c>
      <c r="S14" s="3" t="s">
        <v>18</v>
      </c>
    </row>
    <row r="15" spans="1:19" ht="52" x14ac:dyDescent="0.35">
      <c r="A15" s="2" t="s">
        <v>4</v>
      </c>
      <c r="B15" s="1">
        <v>2016</v>
      </c>
      <c r="C15" s="1">
        <v>5.1621173126380002</v>
      </c>
      <c r="D15" s="1" t="s">
        <v>4</v>
      </c>
      <c r="E15" s="1">
        <v>2016</v>
      </c>
      <c r="F15" s="1">
        <v>1.4999226248399999</v>
      </c>
      <c r="G15" s="1">
        <v>5.5733198151319998</v>
      </c>
      <c r="H15" s="1">
        <v>4.4747499255719996</v>
      </c>
      <c r="I15" s="1" t="s">
        <v>4</v>
      </c>
      <c r="J15" s="1">
        <v>2016</v>
      </c>
      <c r="K15" s="1">
        <v>5.1621173126380002</v>
      </c>
      <c r="L15" s="1">
        <v>24.359246439197999</v>
      </c>
      <c r="M15" s="1" t="s">
        <v>4</v>
      </c>
      <c r="N15" s="1">
        <v>2016</v>
      </c>
      <c r="O15" s="1">
        <v>8.1087596032350007</v>
      </c>
      <c r="P15" s="1">
        <v>2.9429322763069998</v>
      </c>
      <c r="Q15" s="1" t="s">
        <v>4</v>
      </c>
      <c r="R15" s="1">
        <v>2016</v>
      </c>
      <c r="S15" s="3" t="s">
        <v>18</v>
      </c>
    </row>
    <row r="16" spans="1:19" ht="65" x14ac:dyDescent="0.35">
      <c r="A16" s="2" t="s">
        <v>5</v>
      </c>
      <c r="B16" s="1">
        <v>2016</v>
      </c>
      <c r="C16" s="1">
        <v>3.936044792398</v>
      </c>
      <c r="D16" s="1" t="s">
        <v>5</v>
      </c>
      <c r="E16" s="1">
        <v>2016</v>
      </c>
      <c r="F16" s="1">
        <v>1.230587475154</v>
      </c>
      <c r="G16" s="1">
        <v>5.7027432447099997</v>
      </c>
      <c r="H16" s="1">
        <v>3.5280415850289999</v>
      </c>
      <c r="I16" s="1" t="s">
        <v>5</v>
      </c>
      <c r="J16" s="1">
        <v>2016</v>
      </c>
      <c r="K16" s="1">
        <v>3.936044792398</v>
      </c>
      <c r="L16" s="1">
        <v>12.237767588932</v>
      </c>
      <c r="M16" s="1" t="s">
        <v>5</v>
      </c>
      <c r="N16" s="1">
        <v>2016</v>
      </c>
      <c r="O16" s="1">
        <v>5.3973279839819996</v>
      </c>
      <c r="P16" s="1">
        <v>2.200713750961</v>
      </c>
      <c r="Q16" s="1" t="s">
        <v>5</v>
      </c>
      <c r="R16" s="1">
        <v>2016</v>
      </c>
      <c r="S16" s="3" t="s">
        <v>19</v>
      </c>
    </row>
    <row r="17" spans="1:19" ht="65" x14ac:dyDescent="0.35">
      <c r="A17" s="2" t="s">
        <v>7</v>
      </c>
      <c r="B17" s="1">
        <v>2016</v>
      </c>
      <c r="C17" s="1">
        <v>3.5403036808060002</v>
      </c>
      <c r="D17" s="1" t="s">
        <v>7</v>
      </c>
      <c r="E17" s="1">
        <v>2016</v>
      </c>
      <c r="F17" s="1">
        <v>0.14569800793500001</v>
      </c>
      <c r="G17" s="1">
        <v>5.191055410593</v>
      </c>
      <c r="H17" s="1">
        <v>0.46201513136700001</v>
      </c>
      <c r="I17" s="1" t="s">
        <v>7</v>
      </c>
      <c r="J17" s="1">
        <v>2016</v>
      </c>
      <c r="K17" s="1">
        <v>3.5403036808060002</v>
      </c>
      <c r="L17" s="1">
        <v>25.233410946326</v>
      </c>
      <c r="M17" s="1" t="s">
        <v>7</v>
      </c>
      <c r="N17" s="1">
        <v>2016</v>
      </c>
      <c r="O17" s="1">
        <v>0.57668127275900005</v>
      </c>
      <c r="P17" s="1">
        <v>0.23502766660800001</v>
      </c>
      <c r="Q17" s="1" t="s">
        <v>7</v>
      </c>
      <c r="R17" s="1">
        <v>2016</v>
      </c>
      <c r="S17" s="3" t="s">
        <v>19</v>
      </c>
    </row>
    <row r="18" spans="1:19" ht="26" x14ac:dyDescent="0.35">
      <c r="A18" s="2" t="s">
        <v>9</v>
      </c>
      <c r="B18" s="1">
        <v>2016</v>
      </c>
      <c r="C18" s="1">
        <v>0.69973678616299995</v>
      </c>
      <c r="D18" s="1" t="s">
        <v>9</v>
      </c>
      <c r="E18" s="1">
        <v>2016</v>
      </c>
      <c r="F18" s="1">
        <v>0.44624397759200002</v>
      </c>
      <c r="G18" s="1">
        <v>0.58968472889800005</v>
      </c>
      <c r="H18" s="1">
        <v>1.222374731305</v>
      </c>
      <c r="I18" s="1" t="s">
        <v>9</v>
      </c>
      <c r="J18" s="1">
        <v>2016</v>
      </c>
      <c r="K18" s="1">
        <v>0.69973678616299995</v>
      </c>
      <c r="L18" s="1">
        <v>2.5138678395879999</v>
      </c>
      <c r="M18" s="1" t="s">
        <v>9</v>
      </c>
      <c r="N18" s="1">
        <v>2016</v>
      </c>
      <c r="O18" s="1">
        <v>1.7888300388659999</v>
      </c>
      <c r="P18" s="1">
        <v>0.80443993515300005</v>
      </c>
      <c r="Q18" s="1" t="s">
        <v>9</v>
      </c>
      <c r="R18" s="1">
        <v>2016</v>
      </c>
      <c r="S18" s="3" t="s">
        <v>18</v>
      </c>
    </row>
    <row r="19" spans="1:19" ht="39" x14ac:dyDescent="0.35">
      <c r="A19" s="2" t="s">
        <v>8</v>
      </c>
      <c r="B19" s="1">
        <v>2016</v>
      </c>
      <c r="C19" s="1">
        <v>0.38420251594299998</v>
      </c>
      <c r="D19" s="1" t="s">
        <v>8</v>
      </c>
      <c r="E19" s="1">
        <v>2016</v>
      </c>
      <c r="F19" s="1">
        <v>0.36323307737799998</v>
      </c>
      <c r="G19" s="1">
        <v>0.20616328518499999</v>
      </c>
      <c r="H19" s="1">
        <v>0.95078921336800004</v>
      </c>
      <c r="I19" s="1" t="s">
        <v>8</v>
      </c>
      <c r="J19" s="1">
        <v>2016</v>
      </c>
      <c r="K19" s="1">
        <v>0.38420251594299998</v>
      </c>
      <c r="L19" s="1">
        <v>0.44965158979199998</v>
      </c>
      <c r="M19" s="1" t="s">
        <v>8</v>
      </c>
      <c r="N19" s="1">
        <v>2016</v>
      </c>
      <c r="O19" s="1">
        <v>0.92647012862</v>
      </c>
      <c r="P19" s="1">
        <v>0.54754014087500003</v>
      </c>
      <c r="Q19" s="1" t="s">
        <v>8</v>
      </c>
      <c r="R19" s="1">
        <v>2016</v>
      </c>
      <c r="S19" s="3" t="s">
        <v>18</v>
      </c>
    </row>
    <row r="20" spans="1:19" ht="39" x14ac:dyDescent="0.35">
      <c r="A20" s="2" t="s">
        <v>3</v>
      </c>
      <c r="B20" s="1">
        <v>2017</v>
      </c>
      <c r="C20" s="1">
        <v>1.52616255802</v>
      </c>
      <c r="D20" s="1" t="s">
        <v>3</v>
      </c>
      <c r="E20" s="1">
        <v>2017</v>
      </c>
      <c r="F20" s="1">
        <v>0.73950030240300002</v>
      </c>
      <c r="G20" s="1">
        <v>1.255769965299</v>
      </c>
      <c r="H20" s="1">
        <v>2.0806009646889998</v>
      </c>
      <c r="I20" s="1" t="s">
        <v>3</v>
      </c>
      <c r="J20" s="1">
        <v>2017</v>
      </c>
      <c r="K20" s="1">
        <v>1.52616255802</v>
      </c>
      <c r="L20" s="1">
        <v>5.3942638626789998</v>
      </c>
      <c r="M20" s="1" t="s">
        <v>3</v>
      </c>
      <c r="N20" s="1">
        <v>2017</v>
      </c>
      <c r="O20" s="1">
        <v>3.4302631043559999</v>
      </c>
      <c r="P20" s="1">
        <v>1.4149379043970001</v>
      </c>
      <c r="Q20" s="1" t="s">
        <v>3</v>
      </c>
      <c r="R20" s="1">
        <v>2017</v>
      </c>
      <c r="S20" s="3" t="s">
        <v>18</v>
      </c>
    </row>
    <row r="21" spans="1:19" ht="52" x14ac:dyDescent="0.35">
      <c r="A21" s="2" t="s">
        <v>4</v>
      </c>
      <c r="B21" s="1">
        <v>2017</v>
      </c>
      <c r="C21" s="1">
        <v>5.3034855890269998</v>
      </c>
      <c r="D21" s="1" t="s">
        <v>4</v>
      </c>
      <c r="E21" s="1">
        <v>2017</v>
      </c>
      <c r="F21" s="1">
        <v>1.5769169493870001</v>
      </c>
      <c r="G21" s="1">
        <v>6.0816131559870001</v>
      </c>
      <c r="H21" s="1">
        <v>4.7173187902880001</v>
      </c>
      <c r="I21" s="1" t="s">
        <v>4</v>
      </c>
      <c r="J21" s="1">
        <v>2017</v>
      </c>
      <c r="K21" s="1">
        <v>5.3034855890269998</v>
      </c>
      <c r="L21" s="1">
        <v>25.785510034304</v>
      </c>
      <c r="M21" s="1" t="s">
        <v>4</v>
      </c>
      <c r="N21" s="1">
        <v>2017</v>
      </c>
      <c r="O21" s="1">
        <v>8.2544042958620008</v>
      </c>
      <c r="P21" s="1">
        <v>3.0369617675099998</v>
      </c>
      <c r="Q21" s="1" t="s">
        <v>4</v>
      </c>
      <c r="R21" s="1">
        <v>2017</v>
      </c>
      <c r="S21" s="3" t="s">
        <v>18</v>
      </c>
    </row>
    <row r="22" spans="1:19" ht="65" x14ac:dyDescent="0.35">
      <c r="A22" s="2" t="s">
        <v>5</v>
      </c>
      <c r="B22" s="1">
        <v>2017</v>
      </c>
      <c r="C22" s="1">
        <v>3.5668695518860001</v>
      </c>
      <c r="D22" s="1" t="s">
        <v>5</v>
      </c>
      <c r="E22" s="1">
        <v>2017</v>
      </c>
      <c r="F22" s="1">
        <v>1.0458030909660001</v>
      </c>
      <c r="G22" s="1">
        <v>5.2874995058429999</v>
      </c>
      <c r="H22" s="1">
        <v>3.0098245126230001</v>
      </c>
      <c r="I22" s="1" t="s">
        <v>5</v>
      </c>
      <c r="J22" s="1">
        <v>2017</v>
      </c>
      <c r="K22" s="1">
        <v>3.5668695518860001</v>
      </c>
      <c r="L22" s="1">
        <v>11.869246991574</v>
      </c>
      <c r="M22" s="1" t="s">
        <v>5</v>
      </c>
      <c r="N22" s="1">
        <v>2017</v>
      </c>
      <c r="O22" s="1">
        <v>4.6851219613139996</v>
      </c>
      <c r="P22" s="1">
        <v>1.8862070471200001</v>
      </c>
      <c r="Q22" s="1" t="s">
        <v>5</v>
      </c>
      <c r="R22" s="1">
        <v>2017</v>
      </c>
      <c r="S22" s="3" t="s">
        <v>19</v>
      </c>
    </row>
    <row r="23" spans="1:19" ht="52" x14ac:dyDescent="0.35">
      <c r="A23" s="2" t="s">
        <v>6</v>
      </c>
      <c r="B23" s="1">
        <v>2017</v>
      </c>
      <c r="C23" s="1">
        <v>0.36031852038399997</v>
      </c>
      <c r="D23" s="1" t="s">
        <v>6</v>
      </c>
      <c r="E23" s="1">
        <v>2017</v>
      </c>
      <c r="F23" s="1">
        <v>0.30905939487599998</v>
      </c>
      <c r="G23" s="1">
        <v>0.30507611393200001</v>
      </c>
      <c r="H23" s="1">
        <v>0.83505121346199995</v>
      </c>
      <c r="I23" s="1" t="s">
        <v>6</v>
      </c>
      <c r="J23" s="1">
        <v>2017</v>
      </c>
      <c r="K23" s="1">
        <v>0.36031852038399997</v>
      </c>
      <c r="L23" s="1">
        <v>0.93898819795699995</v>
      </c>
      <c r="M23" s="1" t="s">
        <v>6</v>
      </c>
      <c r="N23" s="1">
        <v>2017</v>
      </c>
      <c r="O23" s="1">
        <v>0.86460950961600003</v>
      </c>
      <c r="P23" s="1">
        <v>0.478368872572</v>
      </c>
      <c r="Q23" s="1" t="s">
        <v>6</v>
      </c>
      <c r="R23" s="1">
        <v>2017</v>
      </c>
      <c r="S23" s="3" t="s">
        <v>18</v>
      </c>
    </row>
    <row r="24" spans="1:19" ht="65" x14ac:dyDescent="0.35">
      <c r="A24" s="2" t="s">
        <v>7</v>
      </c>
      <c r="B24" s="1">
        <v>2017</v>
      </c>
      <c r="C24" s="1">
        <v>3.3758853386859999</v>
      </c>
      <c r="D24" s="1" t="s">
        <v>7</v>
      </c>
      <c r="E24" s="1">
        <v>2017</v>
      </c>
      <c r="F24" s="1">
        <v>0.125376717093</v>
      </c>
      <c r="G24" s="1">
        <v>4.8776669045469996</v>
      </c>
      <c r="H24" s="1">
        <v>0.39987649934000002</v>
      </c>
      <c r="I24" s="1" t="s">
        <v>7</v>
      </c>
      <c r="J24" s="1">
        <v>2017</v>
      </c>
      <c r="K24" s="1">
        <v>3.3758853386859999</v>
      </c>
      <c r="L24" s="1">
        <v>24.646055444150001</v>
      </c>
      <c r="M24" s="1" t="s">
        <v>7</v>
      </c>
      <c r="N24" s="1">
        <v>2017</v>
      </c>
      <c r="O24" s="1">
        <v>0.49262446638500001</v>
      </c>
      <c r="P24" s="1">
        <v>0.200386379625</v>
      </c>
      <c r="Q24" s="1" t="s">
        <v>7</v>
      </c>
      <c r="R24" s="1">
        <v>2017</v>
      </c>
      <c r="S24" s="3" t="s">
        <v>19</v>
      </c>
    </row>
    <row r="25" spans="1:19" ht="26" x14ac:dyDescent="0.35">
      <c r="A25" s="2" t="s">
        <v>9</v>
      </c>
      <c r="B25" s="1">
        <v>2017</v>
      </c>
      <c r="C25" s="1">
        <v>0.24992366973800001</v>
      </c>
      <c r="D25" s="1" t="s">
        <v>9</v>
      </c>
      <c r="E25" s="1">
        <v>2017</v>
      </c>
      <c r="F25" s="1">
        <v>9.6085640264999994E-2</v>
      </c>
      <c r="G25" s="1">
        <v>0.23230893762499999</v>
      </c>
      <c r="H25" s="1">
        <v>0.28071080734100001</v>
      </c>
      <c r="I25" s="1" t="s">
        <v>9</v>
      </c>
      <c r="J25" s="1">
        <v>2017</v>
      </c>
      <c r="K25" s="1">
        <v>0.24992366973800001</v>
      </c>
      <c r="L25" s="1">
        <v>0.83574193284800002</v>
      </c>
      <c r="M25" s="1" t="s">
        <v>9</v>
      </c>
      <c r="N25" s="1">
        <v>2017</v>
      </c>
      <c r="O25" s="1">
        <v>0.53047910943700005</v>
      </c>
      <c r="P25" s="1">
        <v>0.198474027011</v>
      </c>
      <c r="Q25" s="1" t="s">
        <v>9</v>
      </c>
      <c r="R25" s="1">
        <v>2017</v>
      </c>
      <c r="S25" s="3" t="s">
        <v>18</v>
      </c>
    </row>
    <row r="26" spans="1:19" ht="39" x14ac:dyDescent="0.35">
      <c r="A26" s="2" t="s">
        <v>8</v>
      </c>
      <c r="B26" s="1">
        <v>2017</v>
      </c>
      <c r="C26" s="1">
        <v>1.18158631396</v>
      </c>
      <c r="D26" s="1" t="s">
        <v>8</v>
      </c>
      <c r="E26" s="1">
        <v>2017</v>
      </c>
      <c r="F26" s="1">
        <v>0.73113522662200003</v>
      </c>
      <c r="G26" s="1">
        <v>1.0773334736910001</v>
      </c>
      <c r="H26" s="1">
        <v>1.975971847921</v>
      </c>
      <c r="I26" s="1" t="s">
        <v>8</v>
      </c>
      <c r="J26" s="1">
        <v>2017</v>
      </c>
      <c r="K26" s="1">
        <v>1.18158631396</v>
      </c>
      <c r="L26" s="1">
        <v>727.15794387163896</v>
      </c>
      <c r="M26" s="1" t="s">
        <v>8</v>
      </c>
      <c r="N26" s="1">
        <v>2017</v>
      </c>
      <c r="O26" s="1">
        <v>2.4042588262279998</v>
      </c>
      <c r="P26" s="1">
        <v>1.1835555449999999</v>
      </c>
      <c r="Q26" s="1" t="s">
        <v>8</v>
      </c>
      <c r="R26" s="1">
        <v>2017</v>
      </c>
      <c r="S26" s="3" t="s">
        <v>18</v>
      </c>
    </row>
    <row r="27" spans="1:19" ht="39" x14ac:dyDescent="0.35">
      <c r="A27" s="2" t="s">
        <v>3</v>
      </c>
      <c r="B27" s="1">
        <v>2018</v>
      </c>
      <c r="C27" s="1">
        <v>2.217995358529</v>
      </c>
      <c r="D27" s="1" t="s">
        <v>3</v>
      </c>
      <c r="E27" s="1">
        <v>2018</v>
      </c>
      <c r="F27" s="1">
        <v>0.97934186547699997</v>
      </c>
      <c r="G27" s="1">
        <v>2.0106939063599998</v>
      </c>
      <c r="H27" s="1">
        <v>2.7846771182349999</v>
      </c>
      <c r="I27" s="1" t="s">
        <v>3</v>
      </c>
      <c r="J27" s="1">
        <v>2018</v>
      </c>
      <c r="K27" s="1">
        <v>2.217995358529</v>
      </c>
      <c r="L27" s="1">
        <v>8.3033097604330006</v>
      </c>
      <c r="M27" s="1" t="s">
        <v>3</v>
      </c>
      <c r="N27" s="1">
        <v>2018</v>
      </c>
      <c r="O27" s="1">
        <v>4.7963565178470002</v>
      </c>
      <c r="P27" s="1">
        <v>1.9021752245820001</v>
      </c>
      <c r="Q27" s="1" t="s">
        <v>3</v>
      </c>
      <c r="R27" s="1">
        <v>2018</v>
      </c>
      <c r="S27" s="3" t="s">
        <v>18</v>
      </c>
    </row>
    <row r="28" spans="1:19" ht="52" x14ac:dyDescent="0.35">
      <c r="A28" s="2" t="s">
        <v>4</v>
      </c>
      <c r="B28" s="1">
        <v>2018</v>
      </c>
      <c r="C28" s="1">
        <v>5.2712592624269998</v>
      </c>
      <c r="D28" s="1" t="s">
        <v>4</v>
      </c>
      <c r="E28" s="1">
        <v>2018</v>
      </c>
      <c r="F28" s="1">
        <v>1.3928569642069999</v>
      </c>
      <c r="G28" s="1">
        <v>6.0461418844179997</v>
      </c>
      <c r="H28" s="1">
        <v>4.1577782223569999</v>
      </c>
      <c r="I28" s="1" t="s">
        <v>4</v>
      </c>
      <c r="J28" s="1">
        <v>2018</v>
      </c>
      <c r="K28" s="1">
        <v>5.2712592624269998</v>
      </c>
      <c r="L28" s="1">
        <v>27.532880450360999</v>
      </c>
      <c r="M28" s="1" t="s">
        <v>4</v>
      </c>
      <c r="N28" s="1">
        <v>2018</v>
      </c>
      <c r="O28" s="1">
        <v>7.5019931487419997</v>
      </c>
      <c r="P28" s="1">
        <v>2.7027594438999998</v>
      </c>
      <c r="Q28" s="1" t="s">
        <v>4</v>
      </c>
      <c r="R28" s="1">
        <v>2018</v>
      </c>
      <c r="S28" s="3" t="s">
        <v>18</v>
      </c>
    </row>
    <row r="29" spans="1:19" ht="65" x14ac:dyDescent="0.35">
      <c r="A29" s="2" t="s">
        <v>5</v>
      </c>
      <c r="B29" s="1">
        <v>2018</v>
      </c>
      <c r="C29" s="1">
        <v>3.7773891273250002</v>
      </c>
      <c r="D29" s="1" t="s">
        <v>5</v>
      </c>
      <c r="E29" s="1">
        <v>2018</v>
      </c>
      <c r="F29" s="1">
        <v>1.1107497366000001</v>
      </c>
      <c r="G29" s="1">
        <v>5.4551311775059999</v>
      </c>
      <c r="H29" s="1">
        <v>3.2021826035109999</v>
      </c>
      <c r="I29" s="1" t="s">
        <v>5</v>
      </c>
      <c r="J29" s="1">
        <v>2018</v>
      </c>
      <c r="K29" s="1">
        <v>3.7773891273250002</v>
      </c>
      <c r="L29" s="1">
        <v>13.108464138161001</v>
      </c>
      <c r="M29" s="1" t="s">
        <v>5</v>
      </c>
      <c r="N29" s="1">
        <v>2018</v>
      </c>
      <c r="O29" s="1">
        <v>5.1587863978769999</v>
      </c>
      <c r="P29" s="1">
        <v>2.0351415028469999</v>
      </c>
      <c r="Q29" s="1" t="s">
        <v>5</v>
      </c>
      <c r="R29" s="1">
        <v>2018</v>
      </c>
      <c r="S29" s="3" t="s">
        <v>19</v>
      </c>
    </row>
    <row r="30" spans="1:19" ht="65" x14ac:dyDescent="0.35">
      <c r="A30" s="2" t="s">
        <v>7</v>
      </c>
      <c r="B30" s="1">
        <v>2018</v>
      </c>
      <c r="C30" s="1">
        <v>3.5968286740200002</v>
      </c>
      <c r="D30" s="1" t="s">
        <v>7</v>
      </c>
      <c r="E30" s="1">
        <v>2018</v>
      </c>
      <c r="F30" s="1">
        <v>0.128955285866</v>
      </c>
      <c r="G30" s="1">
        <v>5.2857745830800003</v>
      </c>
      <c r="H30" s="1">
        <v>0.414893025774</v>
      </c>
      <c r="I30" s="1" t="s">
        <v>7</v>
      </c>
      <c r="J30" s="1">
        <v>2018</v>
      </c>
      <c r="K30" s="1">
        <v>3.5968286740200002</v>
      </c>
      <c r="L30" s="1">
        <v>27.011469240238998</v>
      </c>
      <c r="M30" s="1" t="s">
        <v>7</v>
      </c>
      <c r="N30" s="1">
        <v>2018</v>
      </c>
      <c r="O30" s="1">
        <v>0.48754956160099999</v>
      </c>
      <c r="P30" s="1">
        <v>0.20238031079499999</v>
      </c>
      <c r="Q30" s="1" t="s">
        <v>7</v>
      </c>
      <c r="R30" s="1">
        <v>2018</v>
      </c>
      <c r="S30" s="3" t="s">
        <v>19</v>
      </c>
    </row>
    <row r="31" spans="1:19" ht="39" x14ac:dyDescent="0.35">
      <c r="A31" s="2" t="s">
        <v>8</v>
      </c>
      <c r="B31" s="1">
        <v>2018</v>
      </c>
      <c r="C31" s="1">
        <v>0.41485199705600001</v>
      </c>
      <c r="D31" s="1" t="s">
        <v>8</v>
      </c>
      <c r="E31" s="1">
        <v>2018</v>
      </c>
      <c r="F31" s="1">
        <v>0.406826018816</v>
      </c>
      <c r="G31" s="1">
        <v>0.208215754255</v>
      </c>
      <c r="H31" s="1">
        <v>1.048996385271</v>
      </c>
      <c r="I31" s="1" t="s">
        <v>8</v>
      </c>
      <c r="J31" s="1">
        <v>2018</v>
      </c>
      <c r="K31" s="1">
        <v>0.41485199705600001</v>
      </c>
      <c r="L31" s="1">
        <v>0.68630581816500003</v>
      </c>
      <c r="M31" s="1" t="s">
        <v>8</v>
      </c>
      <c r="N31" s="1">
        <v>2018</v>
      </c>
      <c r="O31" s="1">
        <v>0.94593643111699999</v>
      </c>
      <c r="P31" s="1">
        <v>0.59457605572500005</v>
      </c>
      <c r="Q31" s="1" t="s">
        <v>8</v>
      </c>
      <c r="R31" s="1">
        <v>2018</v>
      </c>
      <c r="S31" s="3" t="s">
        <v>18</v>
      </c>
    </row>
    <row r="32" spans="1:19" ht="39" x14ac:dyDescent="0.35">
      <c r="A32" s="2" t="s">
        <v>3</v>
      </c>
      <c r="B32" s="1">
        <v>2019</v>
      </c>
      <c r="C32" s="1">
        <v>1.1599646391589999</v>
      </c>
      <c r="D32" s="1" t="s">
        <v>3</v>
      </c>
      <c r="E32" s="1">
        <v>2019</v>
      </c>
      <c r="F32" s="1">
        <v>0.39759897380800002</v>
      </c>
      <c r="G32" s="1">
        <v>1.0381301561580001</v>
      </c>
      <c r="H32" s="1">
        <v>1.1693866599980001</v>
      </c>
      <c r="I32" s="1" t="s">
        <v>3</v>
      </c>
      <c r="J32" s="1">
        <v>2019</v>
      </c>
      <c r="K32" s="1">
        <v>1.1599646391589999</v>
      </c>
      <c r="L32" s="1">
        <v>4.8345427386040001</v>
      </c>
      <c r="M32" s="1" t="s">
        <v>3</v>
      </c>
      <c r="N32" s="1">
        <v>2019</v>
      </c>
      <c r="O32" s="1">
        <v>2.2999742255069999</v>
      </c>
      <c r="P32" s="1">
        <v>0.82848018601100004</v>
      </c>
      <c r="Q32" s="1" t="s">
        <v>3</v>
      </c>
      <c r="R32" s="1">
        <v>2019</v>
      </c>
      <c r="S32" s="3" t="s">
        <v>18</v>
      </c>
    </row>
    <row r="33" spans="1:19" ht="52" x14ac:dyDescent="0.35">
      <c r="A33" s="2" t="s">
        <v>4</v>
      </c>
      <c r="B33" s="1">
        <v>2019</v>
      </c>
      <c r="C33" s="1">
        <v>4.8007355398430001</v>
      </c>
      <c r="D33" s="1" t="s">
        <v>4</v>
      </c>
      <c r="E33" s="1">
        <v>2019</v>
      </c>
      <c r="F33" s="1">
        <v>1.1062900657100001</v>
      </c>
      <c r="G33" s="1">
        <v>5.5875508327350003</v>
      </c>
      <c r="H33" s="1">
        <v>3.3338029333480002</v>
      </c>
      <c r="I33" s="1" t="s">
        <v>4</v>
      </c>
      <c r="J33" s="1">
        <v>2019</v>
      </c>
      <c r="K33" s="1">
        <v>4.8007355398430001</v>
      </c>
      <c r="L33" s="1">
        <v>27.509380606257</v>
      </c>
      <c r="M33" s="1" t="s">
        <v>4</v>
      </c>
      <c r="N33" s="1">
        <v>2019</v>
      </c>
      <c r="O33" s="1">
        <v>6.4912510991310004</v>
      </c>
      <c r="P33" s="1">
        <v>2.239720649448</v>
      </c>
      <c r="Q33" s="1" t="s">
        <v>4</v>
      </c>
      <c r="R33" s="1">
        <v>2019</v>
      </c>
      <c r="S33" s="3" t="s">
        <v>18</v>
      </c>
    </row>
    <row r="34" spans="1:19" ht="65" x14ac:dyDescent="0.35">
      <c r="A34" s="2" t="s">
        <v>5</v>
      </c>
      <c r="B34" s="1">
        <v>2019</v>
      </c>
      <c r="C34" s="1">
        <v>3.3570677624640002</v>
      </c>
      <c r="D34" s="1" t="s">
        <v>5</v>
      </c>
      <c r="E34" s="1">
        <v>2019</v>
      </c>
      <c r="F34" s="1">
        <v>0.95046972484100001</v>
      </c>
      <c r="G34" s="1">
        <v>4.8405271050519998</v>
      </c>
      <c r="H34" s="1">
        <v>2.7299536252359999</v>
      </c>
      <c r="I34" s="1" t="s">
        <v>5</v>
      </c>
      <c r="J34" s="1">
        <v>2019</v>
      </c>
      <c r="K34" s="1">
        <v>3.3570677624640002</v>
      </c>
      <c r="L34" s="1">
        <v>11.824535196838999</v>
      </c>
      <c r="M34" s="1" t="s">
        <v>5</v>
      </c>
      <c r="N34" s="1">
        <v>2019</v>
      </c>
      <c r="O34" s="1">
        <v>4.3222702698340001</v>
      </c>
      <c r="P34" s="1">
        <v>1.7269384897240001</v>
      </c>
      <c r="Q34" s="1" t="s">
        <v>5</v>
      </c>
      <c r="R34" s="1">
        <v>2019</v>
      </c>
      <c r="S34" s="3" t="s">
        <v>19</v>
      </c>
    </row>
    <row r="35" spans="1:19" ht="65" x14ac:dyDescent="0.35">
      <c r="A35" s="2" t="s">
        <v>7</v>
      </c>
      <c r="B35" s="1">
        <v>2019</v>
      </c>
      <c r="C35" s="1">
        <v>3.2121361767610002</v>
      </c>
      <c r="D35" s="1" t="s">
        <v>7</v>
      </c>
      <c r="E35" s="1">
        <v>2019</v>
      </c>
      <c r="F35" s="1">
        <v>0.11869210261599999</v>
      </c>
      <c r="G35" s="1">
        <v>4.7382685233639998</v>
      </c>
      <c r="H35" s="1">
        <v>0.37881498413199999</v>
      </c>
      <c r="I35" s="1" t="s">
        <v>7</v>
      </c>
      <c r="J35" s="1">
        <v>2019</v>
      </c>
      <c r="K35" s="1">
        <v>3.2121361767610002</v>
      </c>
      <c r="L35" s="1">
        <v>24.391579907609</v>
      </c>
      <c r="M35" s="1" t="s">
        <v>7</v>
      </c>
      <c r="N35" s="1">
        <v>2019</v>
      </c>
      <c r="O35" s="1">
        <v>0.44340203253299998</v>
      </c>
      <c r="P35" s="1">
        <v>0.18577074043200001</v>
      </c>
      <c r="Q35" s="1" t="s">
        <v>7</v>
      </c>
      <c r="R35" s="1">
        <v>2019</v>
      </c>
      <c r="S35" s="3" t="s">
        <v>19</v>
      </c>
    </row>
    <row r="36" spans="1:19" ht="26" x14ac:dyDescent="0.35">
      <c r="A36" s="2" t="s">
        <v>9</v>
      </c>
      <c r="B36" s="1">
        <v>2019</v>
      </c>
      <c r="C36" s="1">
        <v>0.22814944790899999</v>
      </c>
      <c r="D36" s="1" t="s">
        <v>9</v>
      </c>
      <c r="E36" s="1">
        <v>2019</v>
      </c>
      <c r="F36" s="1">
        <v>0.119349296486</v>
      </c>
      <c r="G36" s="1">
        <v>0.23277628002299999</v>
      </c>
      <c r="H36" s="1">
        <v>0.348443335573</v>
      </c>
      <c r="I36" s="1" t="s">
        <v>9</v>
      </c>
      <c r="J36" s="1">
        <v>2019</v>
      </c>
      <c r="K36" s="1">
        <v>0.22814944790899999</v>
      </c>
      <c r="L36" s="1">
        <v>0.88027848010300003</v>
      </c>
      <c r="M36" s="1" t="s">
        <v>9</v>
      </c>
      <c r="N36" s="1">
        <v>2019</v>
      </c>
      <c r="O36" s="1">
        <v>0.65289911181000004</v>
      </c>
      <c r="P36" s="1">
        <v>0.24779565227700001</v>
      </c>
      <c r="Q36" s="1" t="s">
        <v>9</v>
      </c>
      <c r="R36" s="1">
        <v>2019</v>
      </c>
      <c r="S36" s="3" t="s">
        <v>18</v>
      </c>
    </row>
    <row r="37" spans="1:19" ht="39" x14ac:dyDescent="0.35">
      <c r="A37" s="2" t="s">
        <v>8</v>
      </c>
      <c r="B37" s="1">
        <v>2019</v>
      </c>
      <c r="C37" s="1">
        <v>0.49219893702700002</v>
      </c>
      <c r="D37" s="1" t="s">
        <v>8</v>
      </c>
      <c r="E37" s="1">
        <v>2019</v>
      </c>
      <c r="F37" s="1">
        <v>0.43446540089399999</v>
      </c>
      <c r="G37" s="1">
        <v>0.42786237912000002</v>
      </c>
      <c r="H37" s="1">
        <v>1.1483936323149999</v>
      </c>
      <c r="I37" s="1" t="s">
        <v>8</v>
      </c>
      <c r="J37" s="1">
        <v>2019</v>
      </c>
      <c r="K37" s="1">
        <v>0.49219893702700002</v>
      </c>
      <c r="L37" s="1">
        <v>0.65578159807400005</v>
      </c>
      <c r="M37" s="1" t="s">
        <v>8</v>
      </c>
      <c r="N37" s="1">
        <v>2019</v>
      </c>
      <c r="O37" s="1">
        <v>0.89490883568900004</v>
      </c>
      <c r="P37" s="1">
        <v>0.59404261792900004</v>
      </c>
      <c r="Q37" s="1" t="s">
        <v>8</v>
      </c>
      <c r="R37" s="1">
        <v>2019</v>
      </c>
      <c r="S37" s="3" t="s">
        <v>18</v>
      </c>
    </row>
    <row r="38" spans="1:19" ht="39" x14ac:dyDescent="0.35">
      <c r="A38" s="2" t="s">
        <v>3</v>
      </c>
      <c r="B38" s="1">
        <v>2020</v>
      </c>
      <c r="C38" s="1">
        <v>1.3250588928360001</v>
      </c>
      <c r="D38" s="1" t="s">
        <v>3</v>
      </c>
      <c r="E38" s="1">
        <v>2020</v>
      </c>
      <c r="F38" s="1">
        <v>0.42075720828399998</v>
      </c>
      <c r="G38" s="1">
        <v>1.2369574703390001</v>
      </c>
      <c r="H38" s="1">
        <v>1.25994881767</v>
      </c>
      <c r="I38" s="1" t="s">
        <v>3</v>
      </c>
      <c r="J38" s="1">
        <v>2020</v>
      </c>
      <c r="K38" s="1">
        <v>1.3250588928360001</v>
      </c>
      <c r="L38" s="1">
        <v>5.9283066589780002</v>
      </c>
      <c r="M38" s="1" t="s">
        <v>3</v>
      </c>
      <c r="N38" s="1">
        <v>2020</v>
      </c>
      <c r="O38" s="1">
        <v>2.6176337800459999</v>
      </c>
      <c r="P38" s="1">
        <v>0.90569403671899995</v>
      </c>
      <c r="Q38" s="1" t="s">
        <v>3</v>
      </c>
      <c r="R38" s="1">
        <v>2020</v>
      </c>
      <c r="S38" s="3" t="s">
        <v>18</v>
      </c>
    </row>
    <row r="39" spans="1:19" ht="52" x14ac:dyDescent="0.35">
      <c r="A39" s="2" t="s">
        <v>4</v>
      </c>
      <c r="B39" s="1">
        <v>2020</v>
      </c>
      <c r="C39" s="1">
        <v>3.9396161650099999</v>
      </c>
      <c r="D39" s="1" t="s">
        <v>4</v>
      </c>
      <c r="E39" s="1">
        <v>2020</v>
      </c>
      <c r="F39" s="1">
        <v>1.0145454276420001</v>
      </c>
      <c r="G39" s="1">
        <v>4.9335179134559999</v>
      </c>
      <c r="H39" s="1">
        <v>3.0376487440450002</v>
      </c>
      <c r="I39" s="1" t="s">
        <v>4</v>
      </c>
      <c r="J39" s="1">
        <v>2020</v>
      </c>
      <c r="K39" s="1">
        <v>3.9396161650099999</v>
      </c>
      <c r="L39" s="1">
        <v>23.631201067107</v>
      </c>
      <c r="M39" s="1" t="s">
        <v>4</v>
      </c>
      <c r="N39" s="1">
        <v>2020</v>
      </c>
      <c r="O39" s="1">
        <v>5.2774610432970004</v>
      </c>
      <c r="P39" s="1">
        <v>1.9429866938939999</v>
      </c>
      <c r="Q39" s="1" t="s">
        <v>4</v>
      </c>
      <c r="R39" s="1">
        <v>2020</v>
      </c>
      <c r="S39" s="3" t="s">
        <v>18</v>
      </c>
    </row>
    <row r="40" spans="1:19" ht="65" x14ac:dyDescent="0.35">
      <c r="A40" s="2" t="s">
        <v>5</v>
      </c>
      <c r="B40" s="1">
        <v>2020</v>
      </c>
      <c r="C40" s="1">
        <v>2.982437666554</v>
      </c>
      <c r="D40" s="1" t="s">
        <v>5</v>
      </c>
      <c r="E40" s="1">
        <v>2020</v>
      </c>
      <c r="F40" s="1">
        <v>0.87965501439399996</v>
      </c>
      <c r="G40" s="1">
        <v>4.4464579954990002</v>
      </c>
      <c r="H40" s="1">
        <v>2.5627884066119999</v>
      </c>
      <c r="I40" s="1" t="s">
        <v>5</v>
      </c>
      <c r="J40" s="1">
        <v>2020</v>
      </c>
      <c r="K40" s="1">
        <v>2.982437666554</v>
      </c>
      <c r="L40" s="1">
        <v>11.203571016843</v>
      </c>
      <c r="M40" s="1" t="s">
        <v>5</v>
      </c>
      <c r="N40" s="1">
        <v>2020</v>
      </c>
      <c r="O40" s="1">
        <v>4.1379878637000003</v>
      </c>
      <c r="P40" s="1">
        <v>1.6158105721880001</v>
      </c>
      <c r="Q40" s="1" t="s">
        <v>5</v>
      </c>
      <c r="R40" s="1">
        <v>2020</v>
      </c>
      <c r="S40" s="3" t="s">
        <v>19</v>
      </c>
    </row>
    <row r="41" spans="1:19" ht="65" x14ac:dyDescent="0.35">
      <c r="A41" s="2" t="s">
        <v>7</v>
      </c>
      <c r="B41" s="1">
        <v>2020</v>
      </c>
      <c r="C41" s="1">
        <v>3.1589648975369999</v>
      </c>
      <c r="D41" s="1" t="s">
        <v>7</v>
      </c>
      <c r="E41" s="1">
        <v>2020</v>
      </c>
      <c r="F41" s="1">
        <v>0.113952589344</v>
      </c>
      <c r="G41" s="1">
        <v>4.6200838633760002</v>
      </c>
      <c r="H41" s="1">
        <v>0.357733400757</v>
      </c>
      <c r="I41" s="1" t="s">
        <v>7</v>
      </c>
      <c r="J41" s="1">
        <v>2020</v>
      </c>
      <c r="K41" s="1">
        <v>3.1589648975369999</v>
      </c>
      <c r="L41" s="1">
        <v>24.459352591251001</v>
      </c>
      <c r="M41" s="1" t="s">
        <v>7</v>
      </c>
      <c r="N41" s="1">
        <v>2020</v>
      </c>
      <c r="O41" s="1">
        <v>0.43683027155100002</v>
      </c>
      <c r="P41" s="1">
        <v>0.17925735156299999</v>
      </c>
      <c r="Q41" s="1" t="s">
        <v>7</v>
      </c>
      <c r="R41" s="1">
        <v>2020</v>
      </c>
      <c r="S41" s="3" t="s">
        <v>19</v>
      </c>
    </row>
    <row r="42" spans="1:19" ht="39" x14ac:dyDescent="0.35">
      <c r="A42" s="2" t="s">
        <v>8</v>
      </c>
      <c r="B42" s="1">
        <v>2020</v>
      </c>
      <c r="C42" s="1">
        <v>1.297453863426</v>
      </c>
      <c r="D42" s="1" t="s">
        <v>8</v>
      </c>
      <c r="E42" s="1">
        <v>2020</v>
      </c>
      <c r="F42" s="1">
        <v>1.113176630194</v>
      </c>
      <c r="G42" s="1">
        <v>0.55232377522499998</v>
      </c>
      <c r="H42" s="1">
        <v>3.0693885510649999</v>
      </c>
      <c r="I42" s="1" t="s">
        <v>8</v>
      </c>
      <c r="J42" s="1">
        <v>2020</v>
      </c>
      <c r="K42" s="1">
        <v>1.297453863426</v>
      </c>
      <c r="L42" s="1">
        <v>1.856286708357</v>
      </c>
      <c r="M42" s="1" t="s">
        <v>8</v>
      </c>
      <c r="N42" s="1">
        <v>2020</v>
      </c>
      <c r="O42" s="1">
        <v>1.927263817951</v>
      </c>
      <c r="P42" s="1">
        <v>1.4163186666209999</v>
      </c>
      <c r="Q42" s="1" t="s">
        <v>8</v>
      </c>
      <c r="R42" s="1">
        <v>2020</v>
      </c>
      <c r="S42" s="3" t="s">
        <v>18</v>
      </c>
    </row>
    <row r="43" spans="1:19" ht="39" x14ac:dyDescent="0.35">
      <c r="A43" s="2" t="s">
        <v>3</v>
      </c>
      <c r="B43" s="1">
        <v>2021</v>
      </c>
      <c r="C43" s="1">
        <v>1.778929132789</v>
      </c>
      <c r="D43" s="1" t="s">
        <v>3</v>
      </c>
      <c r="E43" s="1">
        <v>2021</v>
      </c>
      <c r="F43" s="1">
        <v>0.76504712030900002</v>
      </c>
      <c r="G43" s="1">
        <v>1.589519247218</v>
      </c>
      <c r="H43" s="1">
        <v>2.2021128057500001</v>
      </c>
      <c r="I43" s="1" t="s">
        <v>3</v>
      </c>
      <c r="J43" s="1">
        <v>2021</v>
      </c>
      <c r="K43" s="1">
        <v>1.778929132789</v>
      </c>
      <c r="L43" s="1">
        <v>7.969399849787</v>
      </c>
      <c r="M43" s="1" t="s">
        <v>3</v>
      </c>
      <c r="N43" s="1">
        <v>2021</v>
      </c>
      <c r="O43" s="1">
        <v>3.9583730504979999</v>
      </c>
      <c r="P43" s="1">
        <v>1.5127922931819999</v>
      </c>
      <c r="Q43" s="1" t="s">
        <v>3</v>
      </c>
      <c r="R43" s="1">
        <v>2021</v>
      </c>
      <c r="S43" s="3" t="s">
        <v>18</v>
      </c>
    </row>
    <row r="44" spans="1:19" ht="52" x14ac:dyDescent="0.35">
      <c r="A44" s="2" t="s">
        <v>4</v>
      </c>
      <c r="B44" s="1">
        <v>2021</v>
      </c>
      <c r="C44" s="1">
        <v>3.6900632697039999</v>
      </c>
      <c r="D44" s="1" t="s">
        <v>4</v>
      </c>
      <c r="E44" s="1">
        <v>2021</v>
      </c>
      <c r="F44" s="1">
        <v>1.0431917998889999</v>
      </c>
      <c r="G44" s="1">
        <v>4.5201742607090001</v>
      </c>
      <c r="H44" s="1">
        <v>3.1182581922820001</v>
      </c>
      <c r="I44" s="1" t="s">
        <v>4</v>
      </c>
      <c r="J44" s="1">
        <v>2021</v>
      </c>
      <c r="K44" s="1">
        <v>3.6900632697039999</v>
      </c>
      <c r="L44" s="1">
        <v>23</v>
      </c>
      <c r="M44" s="1" t="s">
        <v>4</v>
      </c>
      <c r="N44" s="1">
        <v>2021</v>
      </c>
      <c r="O44" s="1">
        <v>5.1468125947000001</v>
      </c>
      <c r="P44" s="1">
        <v>1.9523432995450001</v>
      </c>
      <c r="Q44" s="1" t="s">
        <v>4</v>
      </c>
      <c r="R44" s="1">
        <v>2021</v>
      </c>
      <c r="S44" s="3" t="s">
        <v>18</v>
      </c>
    </row>
    <row r="45" spans="1:19" ht="65" x14ac:dyDescent="0.35">
      <c r="A45" s="2" t="s">
        <v>5</v>
      </c>
      <c r="B45" s="1">
        <v>2021</v>
      </c>
      <c r="C45" s="1">
        <v>3.241799922137</v>
      </c>
      <c r="D45" s="1" t="s">
        <v>5</v>
      </c>
      <c r="E45" s="1">
        <v>2021</v>
      </c>
      <c r="F45" s="1">
        <v>0.85560146110000002</v>
      </c>
      <c r="G45" s="1">
        <v>4.6561184477179998</v>
      </c>
      <c r="H45" s="1">
        <v>2.5037059723519999</v>
      </c>
      <c r="I45" s="1" t="s">
        <v>5</v>
      </c>
      <c r="J45" s="1">
        <v>2021</v>
      </c>
      <c r="K45" s="1">
        <v>3.241799922137</v>
      </c>
      <c r="L45" s="1">
        <v>13.131120191768</v>
      </c>
      <c r="M45" s="1" t="s">
        <v>5</v>
      </c>
      <c r="N45" s="1">
        <v>2021</v>
      </c>
      <c r="O45" s="1">
        <v>4.2990973325270003</v>
      </c>
      <c r="P45" s="1">
        <v>1.6225050111620001</v>
      </c>
      <c r="Q45" s="1" t="s">
        <v>5</v>
      </c>
      <c r="R45" s="1">
        <v>2021</v>
      </c>
      <c r="S45" s="3" t="s">
        <v>19</v>
      </c>
    </row>
    <row r="46" spans="1:19" ht="65" x14ac:dyDescent="0.35">
      <c r="A46" s="2" t="s">
        <v>7</v>
      </c>
      <c r="B46" s="1">
        <v>2021</v>
      </c>
      <c r="C46" s="1">
        <v>2.7260912551679999</v>
      </c>
      <c r="D46" s="1" t="s">
        <v>7</v>
      </c>
      <c r="E46" s="1">
        <v>2021</v>
      </c>
      <c r="F46" s="1">
        <v>7.9155875006000007E-2</v>
      </c>
      <c r="G46" s="1">
        <v>4.0488534386990001</v>
      </c>
      <c r="H46" s="1">
        <v>0.25659667950199999</v>
      </c>
      <c r="I46" s="1" t="s">
        <v>7</v>
      </c>
      <c r="J46" s="1">
        <v>2021</v>
      </c>
      <c r="K46" s="1">
        <v>2.7260912551679999</v>
      </c>
      <c r="L46" s="1">
        <v>22</v>
      </c>
      <c r="M46" s="1" t="s">
        <v>7</v>
      </c>
      <c r="N46" s="1">
        <v>2021</v>
      </c>
      <c r="O46" s="1">
        <v>0.31493669507599997</v>
      </c>
      <c r="P46" s="1">
        <v>0.12746346681599999</v>
      </c>
      <c r="Q46" s="1" t="s">
        <v>7</v>
      </c>
      <c r="R46" s="1">
        <v>2021</v>
      </c>
      <c r="S46" s="3" t="s">
        <v>19</v>
      </c>
    </row>
    <row r="47" spans="1:19" ht="39" x14ac:dyDescent="0.35">
      <c r="A47" s="2" t="s">
        <v>8</v>
      </c>
      <c r="B47" s="1">
        <v>2021</v>
      </c>
      <c r="C47" s="1">
        <v>1.577961656294</v>
      </c>
      <c r="D47" s="1" t="s">
        <v>8</v>
      </c>
      <c r="E47" s="1">
        <v>2021</v>
      </c>
      <c r="F47" s="1">
        <v>1.4214393393060001</v>
      </c>
      <c r="G47" s="1">
        <v>0.721118828263</v>
      </c>
      <c r="H47" s="1">
        <v>3.7671008192180002</v>
      </c>
      <c r="I47" s="1" t="s">
        <v>8</v>
      </c>
      <c r="J47" s="1">
        <v>2021</v>
      </c>
      <c r="K47" s="1">
        <v>1.577961656294</v>
      </c>
      <c r="L47" s="1">
        <v>3.1380837676479998</v>
      </c>
      <c r="M47" s="1" t="s">
        <v>8</v>
      </c>
      <c r="N47" s="1">
        <v>2021</v>
      </c>
      <c r="O47" s="1">
        <v>2.8771429454009998</v>
      </c>
      <c r="P47" s="1">
        <v>1.9448769748220001</v>
      </c>
      <c r="Q47" s="1" t="s">
        <v>8</v>
      </c>
      <c r="R47" s="1">
        <v>2021</v>
      </c>
      <c r="S47" s="3" t="s">
        <v>18</v>
      </c>
    </row>
    <row r="48" spans="1:19" ht="39" x14ac:dyDescent="0.35">
      <c r="A48" s="2" t="s">
        <v>3</v>
      </c>
      <c r="B48" s="1">
        <v>2022</v>
      </c>
      <c r="C48" s="1">
        <v>0.80018184645199997</v>
      </c>
      <c r="D48" s="1" t="s">
        <v>3</v>
      </c>
      <c r="E48" s="1">
        <v>2022</v>
      </c>
      <c r="F48" s="1">
        <v>0.293849973677</v>
      </c>
      <c r="G48" s="1">
        <v>0.78520030541300001</v>
      </c>
      <c r="H48" s="1">
        <v>0.86341659953100003</v>
      </c>
      <c r="I48" s="1" t="s">
        <v>3</v>
      </c>
      <c r="J48" s="1">
        <v>2022</v>
      </c>
      <c r="K48" s="1">
        <v>0.80018184645199997</v>
      </c>
      <c r="L48" s="1">
        <v>4.2419714918810003</v>
      </c>
      <c r="M48" s="1" t="s">
        <v>3</v>
      </c>
      <c r="N48" s="1">
        <v>2022</v>
      </c>
      <c r="O48" s="1">
        <v>1.7000788258249999</v>
      </c>
      <c r="P48" s="1">
        <v>0.60728313708500004</v>
      </c>
      <c r="Q48" s="1" t="s">
        <v>3</v>
      </c>
      <c r="R48" s="1">
        <v>2022</v>
      </c>
      <c r="S48" s="3" t="s">
        <v>18</v>
      </c>
    </row>
    <row r="49" spans="1:19" ht="52" x14ac:dyDescent="0.35">
      <c r="A49" s="2" t="s">
        <v>4</v>
      </c>
      <c r="B49" s="1">
        <v>2022</v>
      </c>
      <c r="C49" s="1">
        <v>2.7644637571300001</v>
      </c>
      <c r="D49" s="1" t="s">
        <v>4</v>
      </c>
      <c r="E49" s="1">
        <v>2022</v>
      </c>
      <c r="F49" s="1">
        <v>0.71808528298999996</v>
      </c>
      <c r="G49" s="1">
        <v>3.2264319820849998</v>
      </c>
      <c r="H49" s="1">
        <v>2.1174338326790001</v>
      </c>
      <c r="I49" s="1" t="s">
        <v>4</v>
      </c>
      <c r="J49" s="1">
        <v>2022</v>
      </c>
      <c r="K49" s="1">
        <v>2.7644637571300001</v>
      </c>
      <c r="L49" s="1">
        <v>20.249192945466</v>
      </c>
      <c r="M49" s="1" t="s">
        <v>4</v>
      </c>
      <c r="N49" s="1">
        <v>2022</v>
      </c>
      <c r="O49" s="1">
        <v>3.91029865434</v>
      </c>
      <c r="P49" s="1">
        <v>1.4330054177489999</v>
      </c>
      <c r="Q49" s="1" t="s">
        <v>4</v>
      </c>
      <c r="R49" s="1">
        <v>2022</v>
      </c>
      <c r="S49" s="3" t="s">
        <v>18</v>
      </c>
    </row>
    <row r="50" spans="1:19" ht="65" x14ac:dyDescent="0.35">
      <c r="A50" s="2" t="s">
        <v>5</v>
      </c>
      <c r="B50" s="1">
        <v>2022</v>
      </c>
      <c r="C50" s="1">
        <v>3.3331212926370002</v>
      </c>
      <c r="D50" s="1" t="s">
        <v>5</v>
      </c>
      <c r="E50" s="1">
        <v>2022</v>
      </c>
      <c r="F50" s="1">
        <v>0.81660426389399998</v>
      </c>
      <c r="G50" s="1">
        <v>4.7465118547580003</v>
      </c>
      <c r="H50" s="1">
        <v>2.4080655975759999</v>
      </c>
      <c r="I50" s="1" t="s">
        <v>5</v>
      </c>
      <c r="J50" s="1">
        <v>2022</v>
      </c>
      <c r="K50" s="1">
        <v>3.3331212926370002</v>
      </c>
      <c r="L50" s="1">
        <v>16.636018336957001</v>
      </c>
      <c r="M50" s="1" t="s">
        <v>5</v>
      </c>
      <c r="N50" s="1">
        <v>2022</v>
      </c>
      <c r="O50" s="1">
        <v>4.2988829803439996</v>
      </c>
      <c r="P50" s="1">
        <v>1.5782784053359999</v>
      </c>
      <c r="Q50" s="1" t="s">
        <v>5</v>
      </c>
      <c r="R50" s="1">
        <v>2022</v>
      </c>
      <c r="S50" s="3" t="s">
        <v>19</v>
      </c>
    </row>
    <row r="51" spans="1:19" ht="52" x14ac:dyDescent="0.35">
      <c r="A51" s="2" t="s">
        <v>6</v>
      </c>
      <c r="B51" s="1">
        <v>2022</v>
      </c>
      <c r="C51" s="1">
        <v>0.28889822374099999</v>
      </c>
      <c r="D51" s="1" t="s">
        <v>6</v>
      </c>
      <c r="E51" s="1">
        <v>2022</v>
      </c>
      <c r="F51" s="1">
        <v>0.28294872000400001</v>
      </c>
      <c r="G51" s="1">
        <v>0.116511924897</v>
      </c>
      <c r="H51" s="1">
        <v>0.75593612184699999</v>
      </c>
      <c r="I51" s="1" t="s">
        <v>6</v>
      </c>
      <c r="J51" s="1">
        <v>2022</v>
      </c>
      <c r="K51" s="1">
        <v>0.28889822374099999</v>
      </c>
      <c r="L51" s="1">
        <v>2.0241363956359999</v>
      </c>
      <c r="M51" s="1" t="s">
        <v>6</v>
      </c>
      <c r="N51" s="1">
        <v>2022</v>
      </c>
      <c r="O51" s="1">
        <v>0.93082689055000001</v>
      </c>
      <c r="P51" s="1">
        <v>0.48049012224600002</v>
      </c>
      <c r="Q51" s="1" t="s">
        <v>6</v>
      </c>
      <c r="R51" s="1">
        <v>2022</v>
      </c>
      <c r="S51" s="3" t="s">
        <v>18</v>
      </c>
    </row>
    <row r="52" spans="1:19" ht="65" x14ac:dyDescent="0.35">
      <c r="A52" s="2" t="s">
        <v>7</v>
      </c>
      <c r="B52" s="1">
        <v>2022</v>
      </c>
      <c r="C52" s="1">
        <v>1.9754191808749999</v>
      </c>
      <c r="D52" s="1" t="s">
        <v>7</v>
      </c>
      <c r="E52" s="1">
        <v>2022</v>
      </c>
      <c r="F52" s="1">
        <v>7.6315472435000004E-2</v>
      </c>
      <c r="G52" s="1">
        <v>3.088506815853</v>
      </c>
      <c r="H52" s="1">
        <v>0.249312777091</v>
      </c>
      <c r="I52" s="1" t="s">
        <v>7</v>
      </c>
      <c r="J52" s="1">
        <v>2022</v>
      </c>
      <c r="K52" s="1">
        <v>1.9754191808749999</v>
      </c>
      <c r="L52" s="1">
        <v>17.231075580294998</v>
      </c>
      <c r="M52" s="1" t="s">
        <v>7</v>
      </c>
      <c r="N52" s="1">
        <v>2022</v>
      </c>
      <c r="O52" s="1">
        <v>0.25238752870600001</v>
      </c>
      <c r="P52" s="1">
        <v>0.11295999023099999</v>
      </c>
      <c r="Q52" s="1" t="s">
        <v>7</v>
      </c>
      <c r="R52" s="1">
        <v>2022</v>
      </c>
      <c r="S52" s="3" t="s">
        <v>19</v>
      </c>
    </row>
    <row r="53" spans="1:19" ht="26" x14ac:dyDescent="0.35">
      <c r="A53" s="2" t="s">
        <v>9</v>
      </c>
      <c r="B53" s="1">
        <v>2022</v>
      </c>
      <c r="C53" s="1">
        <v>0.402344931259</v>
      </c>
      <c r="D53" s="1" t="s">
        <v>9</v>
      </c>
      <c r="E53" s="1">
        <v>2022</v>
      </c>
      <c r="F53" s="1">
        <v>0.21000189910799999</v>
      </c>
      <c r="G53" s="1">
        <v>0.31612611604200003</v>
      </c>
      <c r="H53" s="1">
        <v>0.59329108824800003</v>
      </c>
      <c r="I53" s="1" t="s">
        <v>9</v>
      </c>
      <c r="J53" s="1">
        <v>2022</v>
      </c>
      <c r="K53" s="1">
        <v>0.402344931259</v>
      </c>
      <c r="L53" s="1">
        <v>2.1266826305730002</v>
      </c>
      <c r="M53" s="1" t="s">
        <v>9</v>
      </c>
      <c r="N53" s="1">
        <v>2022</v>
      </c>
      <c r="O53" s="1">
        <v>0.99529623865299999</v>
      </c>
      <c r="P53" s="1">
        <v>0.40589748423599997</v>
      </c>
      <c r="Q53" s="1" t="s">
        <v>9</v>
      </c>
      <c r="R53" s="1">
        <v>2022</v>
      </c>
      <c r="S53" s="3" t="s">
        <v>18</v>
      </c>
    </row>
    <row r="54" spans="1:19" ht="39" x14ac:dyDescent="0.35">
      <c r="A54" s="2" t="s">
        <v>8</v>
      </c>
      <c r="B54" s="1">
        <v>2022</v>
      </c>
      <c r="C54" s="1">
        <v>1.1250593031659999</v>
      </c>
      <c r="D54" s="1" t="s">
        <v>8</v>
      </c>
      <c r="E54" s="1">
        <v>2022</v>
      </c>
      <c r="F54" s="1">
        <v>1.00499528371</v>
      </c>
      <c r="G54" s="1">
        <v>0.69803470418900004</v>
      </c>
      <c r="H54" s="1">
        <v>2.7737223151869999</v>
      </c>
      <c r="I54" s="1" t="s">
        <v>8</v>
      </c>
      <c r="J54" s="1">
        <v>2022</v>
      </c>
      <c r="K54" s="1">
        <v>1.1250593031659999</v>
      </c>
      <c r="L54" s="1">
        <v>2.1151245011549999</v>
      </c>
      <c r="M54" s="1" t="s">
        <v>8</v>
      </c>
      <c r="N54" s="1">
        <v>2022</v>
      </c>
      <c r="O54" s="1">
        <v>1.889082229657</v>
      </c>
      <c r="P54" s="1">
        <v>1.3191580107600001</v>
      </c>
      <c r="Q54" s="1" t="s">
        <v>8</v>
      </c>
      <c r="R54" s="1">
        <v>2022</v>
      </c>
      <c r="S54" s="3" t="s">
        <v>18</v>
      </c>
    </row>
    <row r="55" spans="1:19" ht="39" x14ac:dyDescent="0.35">
      <c r="A55" s="2" t="s">
        <v>3</v>
      </c>
      <c r="B55" s="1">
        <v>2023</v>
      </c>
      <c r="C55" s="1">
        <v>0.94319354149800005</v>
      </c>
      <c r="D55" s="1" t="s">
        <v>3</v>
      </c>
      <c r="E55" s="1">
        <v>2023</v>
      </c>
      <c r="F55" s="1">
        <v>0.56496799973900003</v>
      </c>
      <c r="G55" s="1">
        <v>0.85283258528999994</v>
      </c>
      <c r="H55" s="1">
        <v>1.576842262003</v>
      </c>
      <c r="I55" s="1" t="s">
        <v>3</v>
      </c>
      <c r="J55" s="1">
        <v>2023</v>
      </c>
      <c r="K55" s="1">
        <v>0.94319354149800005</v>
      </c>
      <c r="L55" s="1">
        <v>4.4017110902379999</v>
      </c>
      <c r="M55" s="1" t="s">
        <v>3</v>
      </c>
      <c r="N55" s="1">
        <v>2023</v>
      </c>
      <c r="O55" s="1">
        <v>2.4907903474380002</v>
      </c>
      <c r="P55" s="1">
        <v>1.064768213827</v>
      </c>
      <c r="Q55" s="1" t="s">
        <v>3</v>
      </c>
      <c r="R55" s="1">
        <v>2023</v>
      </c>
      <c r="S55" s="3" t="s">
        <v>18</v>
      </c>
    </row>
    <row r="56" spans="1:19" ht="52" x14ac:dyDescent="0.35">
      <c r="A56" s="2" t="s">
        <v>4</v>
      </c>
      <c r="B56" s="1">
        <v>2023</v>
      </c>
      <c r="C56" s="1">
        <v>0.62987064492099998</v>
      </c>
      <c r="D56" s="1" t="s">
        <v>4</v>
      </c>
      <c r="E56" s="1">
        <v>2023</v>
      </c>
      <c r="F56" s="1">
        <v>0.29601683597900003</v>
      </c>
      <c r="G56" s="1">
        <v>0.549050424147</v>
      </c>
      <c r="H56" s="1">
        <v>0.87743153656999995</v>
      </c>
      <c r="I56" s="1" t="s">
        <v>4</v>
      </c>
      <c r="J56" s="1">
        <v>2023</v>
      </c>
      <c r="K56" s="1">
        <v>0.62987064492099998</v>
      </c>
      <c r="L56" s="1">
        <v>3.4801082824099998</v>
      </c>
      <c r="M56" s="1" t="s">
        <v>4</v>
      </c>
      <c r="N56" s="1">
        <v>2023</v>
      </c>
      <c r="O56" s="1">
        <v>1.695246897628</v>
      </c>
      <c r="P56" s="1">
        <v>0.60733502404600004</v>
      </c>
      <c r="Q56" s="1" t="s">
        <v>4</v>
      </c>
      <c r="R56" s="1">
        <v>2023</v>
      </c>
      <c r="S56" s="3" t="s">
        <v>18</v>
      </c>
    </row>
    <row r="57" spans="1:19" ht="65" x14ac:dyDescent="0.35">
      <c r="A57" s="2" t="s">
        <v>5</v>
      </c>
      <c r="B57" s="1">
        <v>2023</v>
      </c>
      <c r="C57" s="1">
        <v>3.5765879131879998</v>
      </c>
      <c r="D57" s="1" t="s">
        <v>5</v>
      </c>
      <c r="E57" s="1">
        <v>2023</v>
      </c>
      <c r="F57" s="1">
        <v>1.057082895692</v>
      </c>
      <c r="G57" s="1">
        <v>5.0837479362450004</v>
      </c>
      <c r="H57" s="1">
        <v>3.0515131189670002</v>
      </c>
      <c r="I57" s="1" t="s">
        <v>5</v>
      </c>
      <c r="J57" s="1">
        <v>2023</v>
      </c>
      <c r="K57" s="1">
        <v>3.5765879131879998</v>
      </c>
      <c r="L57" s="1">
        <v>19.706868532319</v>
      </c>
      <c r="M57" s="1" t="s">
        <v>5</v>
      </c>
      <c r="N57" s="1">
        <v>2023</v>
      </c>
      <c r="O57" s="1">
        <v>4.8289252404000003</v>
      </c>
      <c r="P57" s="1">
        <v>1.9223637764849999</v>
      </c>
      <c r="Q57" s="1" t="s">
        <v>5</v>
      </c>
      <c r="R57" s="1">
        <v>2023</v>
      </c>
      <c r="S57" s="3" t="s">
        <v>19</v>
      </c>
    </row>
    <row r="58" spans="1:19" ht="52" x14ac:dyDescent="0.35">
      <c r="A58" s="2" t="s">
        <v>6</v>
      </c>
      <c r="B58" s="1">
        <v>2023</v>
      </c>
      <c r="C58" s="1">
        <v>0.38470227427300002</v>
      </c>
      <c r="D58" s="1" t="s">
        <v>6</v>
      </c>
      <c r="E58" s="1">
        <v>2023</v>
      </c>
      <c r="F58" s="1">
        <v>0.105785255979</v>
      </c>
      <c r="G58" s="1">
        <v>0.36932982924500002</v>
      </c>
      <c r="H58" s="1">
        <v>0.33400675936200003</v>
      </c>
      <c r="I58" s="1" t="s">
        <v>6</v>
      </c>
      <c r="J58" s="1">
        <v>2023</v>
      </c>
      <c r="K58" s="1">
        <v>0.38470227427300002</v>
      </c>
      <c r="L58" s="1">
        <v>2.1737759515559998</v>
      </c>
      <c r="M58" s="1" t="s">
        <v>6</v>
      </c>
      <c r="N58" s="1">
        <v>2023</v>
      </c>
      <c r="O58" s="1">
        <v>0.82296795584899995</v>
      </c>
      <c r="P58" s="1">
        <v>0.247557097098</v>
      </c>
      <c r="Q58" s="1" t="s">
        <v>6</v>
      </c>
      <c r="R58" s="1">
        <v>2023</v>
      </c>
      <c r="S58" s="3" t="s">
        <v>18</v>
      </c>
    </row>
    <row r="59" spans="1:19" ht="65" x14ac:dyDescent="0.35">
      <c r="A59" s="7" t="s">
        <v>7</v>
      </c>
      <c r="B59" s="8">
        <v>2023</v>
      </c>
      <c r="C59" s="8">
        <v>0.19994705277399999</v>
      </c>
      <c r="D59" s="8" t="s">
        <v>7</v>
      </c>
      <c r="E59" s="8">
        <v>2023</v>
      </c>
      <c r="F59" s="8">
        <v>1.2286756772E-2</v>
      </c>
      <c r="G59" s="8">
        <v>0.34596368904300001</v>
      </c>
      <c r="H59" s="8">
        <v>4.1890141895000003E-2</v>
      </c>
      <c r="I59" s="8" t="s">
        <v>7</v>
      </c>
      <c r="J59" s="8">
        <v>2023</v>
      </c>
      <c r="K59" s="8">
        <v>0.19994705277399999</v>
      </c>
      <c r="L59" s="8">
        <v>1.124485636438</v>
      </c>
      <c r="M59" s="8" t="s">
        <v>7</v>
      </c>
      <c r="N59" s="8">
        <v>2023</v>
      </c>
      <c r="O59" s="8">
        <v>2.4998247772999999E-2</v>
      </c>
      <c r="P59" s="8">
        <v>1.5056659227E-2</v>
      </c>
      <c r="Q59" s="8" t="s">
        <v>7</v>
      </c>
      <c r="R59" s="8">
        <v>2023</v>
      </c>
      <c r="S59" s="9" t="s">
        <v>19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topLeftCell="A30" workbookViewId="0">
      <selection activeCell="B2" sqref="B2"/>
    </sheetView>
  </sheetViews>
  <sheetFormatPr defaultRowHeight="14.5" x14ac:dyDescent="0.35"/>
  <cols>
    <col min="1" max="1" width="25.26953125" bestFit="1" customWidth="1"/>
    <col min="2" max="2" width="7.54296875" bestFit="1" customWidth="1"/>
    <col min="3" max="3" width="11.81640625" bestFit="1" customWidth="1"/>
    <col min="4" max="4" width="14.6328125" bestFit="1" customWidth="1"/>
    <col min="5" max="5" width="11.81640625" bestFit="1" customWidth="1"/>
    <col min="6" max="6" width="12.81640625" bestFit="1" customWidth="1"/>
    <col min="7" max="7" width="18.08984375" bestFit="1" customWidth="1"/>
    <col min="8" max="8" width="17.81640625" bestFit="1" customWidth="1"/>
    <col min="9" max="9" width="17.1796875" bestFit="1" customWidth="1"/>
    <col min="10" max="10" width="11.81640625" bestFit="1" customWidth="1"/>
    <col min="11" max="11" width="14.08984375" bestFit="1" customWidth="1"/>
  </cols>
  <sheetData>
    <row r="1" spans="1:11" x14ac:dyDescent="0.35">
      <c r="A1" s="10" t="s">
        <v>0</v>
      </c>
      <c r="B1" s="10" t="s">
        <v>1</v>
      </c>
      <c r="C1" s="10" t="s">
        <v>2</v>
      </c>
      <c r="D1" s="10" t="s">
        <v>10</v>
      </c>
      <c r="E1" s="10" t="s">
        <v>11</v>
      </c>
      <c r="F1" s="10" t="s">
        <v>12</v>
      </c>
      <c r="G1" s="10" t="s">
        <v>13</v>
      </c>
      <c r="H1" s="10" t="s">
        <v>14</v>
      </c>
      <c r="I1" s="10" t="s">
        <v>15</v>
      </c>
      <c r="J1" s="10" t="s">
        <v>16</v>
      </c>
      <c r="K1" s="10" t="s">
        <v>17</v>
      </c>
    </row>
    <row r="2" spans="1:11" x14ac:dyDescent="0.35">
      <c r="A2" s="10" t="s">
        <v>3</v>
      </c>
      <c r="B2" s="10">
        <v>2014</v>
      </c>
      <c r="C2" s="10">
        <v>2.2191988316220002</v>
      </c>
      <c r="D2" s="10">
        <v>1.2752058838889999</v>
      </c>
      <c r="E2" s="10">
        <v>1.640725316805</v>
      </c>
      <c r="F2" s="10">
        <v>3.4738451111169999</v>
      </c>
      <c r="G2" s="10">
        <v>2.2191988316220002</v>
      </c>
      <c r="H2" s="10">
        <v>6.8181787882820002</v>
      </c>
      <c r="I2" s="10">
        <v>4.858163574073</v>
      </c>
      <c r="J2" s="10">
        <v>2.2128917129049999</v>
      </c>
      <c r="K2" s="10" t="s">
        <v>18</v>
      </c>
    </row>
    <row r="3" spans="1:11" x14ac:dyDescent="0.35">
      <c r="A3" s="10" t="s">
        <v>4</v>
      </c>
      <c r="B3" s="10">
        <v>2014</v>
      </c>
      <c r="C3" s="10">
        <v>5.0603249860780002</v>
      </c>
      <c r="D3" s="10">
        <v>1.500451204899</v>
      </c>
      <c r="E3" s="10">
        <v>5.4813522776749997</v>
      </c>
      <c r="F3" s="10">
        <v>4.4460877689610001</v>
      </c>
      <c r="G3" s="10">
        <v>5.0603249860780002</v>
      </c>
      <c r="H3" s="10">
        <v>24.496743607656001</v>
      </c>
      <c r="I3" s="10">
        <v>8.0910758196980002</v>
      </c>
      <c r="J3" s="10">
        <v>2.9335620068770001</v>
      </c>
      <c r="K3" s="10" t="s">
        <v>18</v>
      </c>
    </row>
    <row r="4" spans="1:11" x14ac:dyDescent="0.35">
      <c r="A4" s="10" t="s">
        <v>5</v>
      </c>
      <c r="B4" s="10">
        <v>2014</v>
      </c>
      <c r="C4" s="10">
        <v>4.3558217882649997</v>
      </c>
      <c r="D4" s="10">
        <v>1.530329384853</v>
      </c>
      <c r="E4" s="10">
        <v>6.3567429864209997</v>
      </c>
      <c r="F4" s="10">
        <v>4.3293569610090001</v>
      </c>
      <c r="G4" s="10">
        <v>4.3558217882649997</v>
      </c>
      <c r="H4" s="10">
        <v>12.217684467844</v>
      </c>
      <c r="I4" s="10">
        <v>6.5281824141160003</v>
      </c>
      <c r="J4" s="10">
        <v>2.7316627576679999</v>
      </c>
      <c r="K4" s="10" t="s">
        <v>19</v>
      </c>
    </row>
    <row r="5" spans="1:11" x14ac:dyDescent="0.35">
      <c r="A5" s="10" t="s">
        <v>6</v>
      </c>
      <c r="B5" s="10">
        <v>2014</v>
      </c>
      <c r="C5" s="10">
        <v>0.38025014367999999</v>
      </c>
      <c r="D5" s="10">
        <v>0.36611870909400002</v>
      </c>
      <c r="E5" s="10">
        <v>0.22201066480199999</v>
      </c>
      <c r="F5" s="10">
        <v>0.95305143808600001</v>
      </c>
      <c r="G5" s="10">
        <v>0.38025014367999999</v>
      </c>
      <c r="H5" s="10">
        <v>0.20953410702700001</v>
      </c>
      <c r="I5" s="10">
        <v>0.92159822462800001</v>
      </c>
      <c r="J5" s="10">
        <v>0.550853236749</v>
      </c>
      <c r="K5" s="10" t="s">
        <v>18</v>
      </c>
    </row>
    <row r="6" spans="1:11" x14ac:dyDescent="0.35">
      <c r="A6" s="10" t="s">
        <v>7</v>
      </c>
      <c r="B6" s="10">
        <v>2014</v>
      </c>
      <c r="C6" s="10">
        <v>3.3846584178689998</v>
      </c>
      <c r="D6" s="10">
        <v>0.15264457340900001</v>
      </c>
      <c r="E6" s="10">
        <v>4.9645808361299997</v>
      </c>
      <c r="F6" s="10">
        <v>0.48027833635299999</v>
      </c>
      <c r="G6" s="10">
        <v>3.3846584178689998</v>
      </c>
      <c r="H6" s="10">
        <v>24.09286436308</v>
      </c>
      <c r="I6" s="10">
        <v>0.633750535527</v>
      </c>
      <c r="J6" s="10">
        <v>0.25100872087100001</v>
      </c>
      <c r="K6" s="10" t="s">
        <v>19</v>
      </c>
    </row>
    <row r="7" spans="1:11" x14ac:dyDescent="0.35">
      <c r="A7" s="10" t="s">
        <v>8</v>
      </c>
      <c r="B7" s="10">
        <v>2014</v>
      </c>
      <c r="C7" s="10">
        <v>2.8680138611510002</v>
      </c>
      <c r="D7" s="10">
        <v>2.3969058614869998</v>
      </c>
      <c r="E7" s="10">
        <v>1.694994665711</v>
      </c>
      <c r="F7" s="10">
        <v>6.3435356205079998</v>
      </c>
      <c r="G7" s="10">
        <v>2.8680138611510002</v>
      </c>
      <c r="H7" s="10">
        <v>4.8782689353380002</v>
      </c>
      <c r="I7" s="10">
        <v>6.1476466256449998</v>
      </c>
      <c r="J7" s="10">
        <v>3.5742688843039998</v>
      </c>
      <c r="K7" s="10" t="s">
        <v>18</v>
      </c>
    </row>
    <row r="8" spans="1:11" x14ac:dyDescent="0.35">
      <c r="A8" s="10" t="s">
        <v>3</v>
      </c>
      <c r="B8" s="10">
        <v>2015</v>
      </c>
      <c r="C8" s="10">
        <v>2.504953926582</v>
      </c>
      <c r="D8" s="10">
        <v>1.505329074152</v>
      </c>
      <c r="E8" s="10">
        <v>2.128407900824</v>
      </c>
      <c r="F8" s="10">
        <v>4.1217915013570003</v>
      </c>
      <c r="G8" s="10">
        <v>2.504953926582</v>
      </c>
      <c r="H8" s="10">
        <v>7.6005979484140003</v>
      </c>
      <c r="I8" s="10">
        <v>5.9181704106510002</v>
      </c>
      <c r="J8" s="10">
        <v>2.6754540963219999</v>
      </c>
      <c r="K8" s="10" t="s">
        <v>18</v>
      </c>
    </row>
    <row r="9" spans="1:11" x14ac:dyDescent="0.35">
      <c r="A9" s="10" t="s">
        <v>4</v>
      </c>
      <c r="B9" s="10">
        <v>2015</v>
      </c>
      <c r="C9" s="10">
        <v>5.224784736208</v>
      </c>
      <c r="D9" s="10">
        <v>1.6433281054669999</v>
      </c>
      <c r="E9" s="10">
        <v>5.5598100197000004</v>
      </c>
      <c r="F9" s="10">
        <v>4.8389295937150001</v>
      </c>
      <c r="G9" s="10">
        <v>5.224784736208</v>
      </c>
      <c r="H9" s="10">
        <v>23.704685104056999</v>
      </c>
      <c r="I9" s="10">
        <v>8.7025493303319994</v>
      </c>
      <c r="J9" s="10">
        <v>3.2000841506579998</v>
      </c>
      <c r="K9" s="10" t="s">
        <v>18</v>
      </c>
    </row>
    <row r="10" spans="1:11" x14ac:dyDescent="0.35">
      <c r="A10" s="10" t="s">
        <v>5</v>
      </c>
      <c r="B10" s="10">
        <v>2015</v>
      </c>
      <c r="C10" s="10">
        <v>3.4109419715609999</v>
      </c>
      <c r="D10" s="10">
        <v>1.09256436921</v>
      </c>
      <c r="E10" s="10">
        <v>5.1044017623410003</v>
      </c>
      <c r="F10" s="10">
        <v>3.1168237798840002</v>
      </c>
      <c r="G10" s="10">
        <v>3.4109419715609999</v>
      </c>
      <c r="H10" s="10">
        <v>10.991177406584001</v>
      </c>
      <c r="I10" s="10">
        <v>4.7699937064690001</v>
      </c>
      <c r="J10" s="10">
        <v>1.955497968065</v>
      </c>
      <c r="K10" s="10" t="s">
        <v>19</v>
      </c>
    </row>
    <row r="11" spans="1:11" x14ac:dyDescent="0.35">
      <c r="A11" s="10" t="s">
        <v>6</v>
      </c>
      <c r="B11" s="10">
        <v>2015</v>
      </c>
      <c r="C11" s="10">
        <v>0.166200464623</v>
      </c>
      <c r="D11" s="10">
        <v>0.106182274142</v>
      </c>
      <c r="E11" s="10">
        <v>0.16979732300299999</v>
      </c>
      <c r="F11" s="10">
        <v>0.32797872317299998</v>
      </c>
      <c r="G11" s="10">
        <v>0.166200464623</v>
      </c>
      <c r="H11" s="10">
        <v>0.49158494412600001</v>
      </c>
      <c r="I11" s="10">
        <v>0.71774135093900004</v>
      </c>
      <c r="J11" s="10">
        <v>0.24393538258299999</v>
      </c>
      <c r="K11" s="10" t="s">
        <v>18</v>
      </c>
    </row>
    <row r="12" spans="1:11" x14ac:dyDescent="0.35">
      <c r="A12" s="10" t="s">
        <v>7</v>
      </c>
      <c r="B12" s="10">
        <v>2015</v>
      </c>
      <c r="C12" s="10">
        <v>3.1692739374809999</v>
      </c>
      <c r="D12" s="10">
        <v>0.14771195859299999</v>
      </c>
      <c r="E12" s="10">
        <v>4.6421137630690001</v>
      </c>
      <c r="F12" s="10">
        <v>0.46604959765600001</v>
      </c>
      <c r="G12" s="10">
        <v>3.1692739374809999</v>
      </c>
      <c r="H12" s="10">
        <v>22.320934711909</v>
      </c>
      <c r="I12" s="10">
        <v>0.56942558674599997</v>
      </c>
      <c r="J12" s="10">
        <v>0.234558560645</v>
      </c>
      <c r="K12" s="10" t="s">
        <v>19</v>
      </c>
    </row>
    <row r="13" spans="1:11" x14ac:dyDescent="0.35">
      <c r="A13" s="10" t="s">
        <v>8</v>
      </c>
      <c r="B13" s="10">
        <v>2015</v>
      </c>
      <c r="C13" s="10">
        <v>2.7502919770980001</v>
      </c>
      <c r="D13" s="10">
        <v>2.334991814905</v>
      </c>
      <c r="E13" s="10">
        <v>1.9125267846330001</v>
      </c>
      <c r="F13" s="10">
        <v>6.4715827513770003</v>
      </c>
      <c r="G13" s="10">
        <v>2.7502919770980001</v>
      </c>
      <c r="H13" s="10">
        <v>4.2433233690560002</v>
      </c>
      <c r="I13" s="10">
        <v>4.523541416364</v>
      </c>
      <c r="J13" s="10">
        <v>3.0876836099239999</v>
      </c>
      <c r="K13" s="10" t="s">
        <v>18</v>
      </c>
    </row>
    <row r="14" spans="1:11" x14ac:dyDescent="0.35">
      <c r="A14" s="10" t="s">
        <v>3</v>
      </c>
      <c r="B14" s="10">
        <v>2016</v>
      </c>
      <c r="C14" s="10">
        <v>1.7071599805069999</v>
      </c>
      <c r="D14" s="10">
        <v>0.71163940640800005</v>
      </c>
      <c r="E14" s="10">
        <v>1.4647712381189999</v>
      </c>
      <c r="F14" s="10">
        <v>2.0416755183199999</v>
      </c>
      <c r="G14" s="10">
        <v>1.7071599805069999</v>
      </c>
      <c r="H14" s="10">
        <v>6.1399542106869998</v>
      </c>
      <c r="I14" s="10">
        <v>3.6556832356640001</v>
      </c>
      <c r="J14" s="10">
        <v>1.4052976514340001</v>
      </c>
      <c r="K14" s="10" t="s">
        <v>18</v>
      </c>
    </row>
    <row r="15" spans="1:11" x14ac:dyDescent="0.35">
      <c r="A15" s="10" t="s">
        <v>4</v>
      </c>
      <c r="B15" s="10">
        <v>2016</v>
      </c>
      <c r="C15" s="10">
        <v>5.1621173126380002</v>
      </c>
      <c r="D15" s="10">
        <v>1.4999226248399999</v>
      </c>
      <c r="E15" s="10">
        <v>5.5733198151319998</v>
      </c>
      <c r="F15" s="10">
        <v>4.4747499255719996</v>
      </c>
      <c r="G15" s="10">
        <v>5.1621173126380002</v>
      </c>
      <c r="H15" s="10">
        <v>24.359246439197999</v>
      </c>
      <c r="I15" s="10">
        <v>8.1087596032350007</v>
      </c>
      <c r="J15" s="10">
        <v>2.9429322763069998</v>
      </c>
      <c r="K15" s="10" t="s">
        <v>18</v>
      </c>
    </row>
    <row r="16" spans="1:11" x14ac:dyDescent="0.35">
      <c r="A16" s="10" t="s">
        <v>5</v>
      </c>
      <c r="B16" s="10">
        <v>2016</v>
      </c>
      <c r="C16" s="10">
        <v>3.936044792398</v>
      </c>
      <c r="D16" s="10">
        <v>1.230587475154</v>
      </c>
      <c r="E16" s="10">
        <v>5.7027432447099997</v>
      </c>
      <c r="F16" s="10">
        <v>3.5280415850289999</v>
      </c>
      <c r="G16" s="10">
        <v>3.936044792398</v>
      </c>
      <c r="H16" s="10">
        <v>12.237767588932</v>
      </c>
      <c r="I16" s="10">
        <v>5.3973279839819996</v>
      </c>
      <c r="J16" s="10">
        <v>2.200713750961</v>
      </c>
      <c r="K16" s="10" t="s">
        <v>19</v>
      </c>
    </row>
    <row r="17" spans="1:11" x14ac:dyDescent="0.35">
      <c r="A17" s="10" t="s">
        <v>7</v>
      </c>
      <c r="B17" s="10">
        <v>2016</v>
      </c>
      <c r="C17" s="10">
        <v>3.5403036808060002</v>
      </c>
      <c r="D17" s="10">
        <v>0.14569800793500001</v>
      </c>
      <c r="E17" s="10">
        <v>5.191055410593</v>
      </c>
      <c r="F17" s="10">
        <v>0.46201513136700001</v>
      </c>
      <c r="G17" s="10">
        <v>3.5403036808060002</v>
      </c>
      <c r="H17" s="10">
        <v>25.233410946326</v>
      </c>
      <c r="I17" s="10">
        <v>0.57668127275900005</v>
      </c>
      <c r="J17" s="10">
        <v>0.23502766660800001</v>
      </c>
      <c r="K17" s="10" t="s">
        <v>19</v>
      </c>
    </row>
    <row r="18" spans="1:11" x14ac:dyDescent="0.35">
      <c r="A18" s="10" t="s">
        <v>9</v>
      </c>
      <c r="B18" s="10">
        <v>2016</v>
      </c>
      <c r="C18" s="10">
        <v>0.69973678616299995</v>
      </c>
      <c r="D18" s="10">
        <v>0.44624397759200002</v>
      </c>
      <c r="E18" s="10">
        <v>0.58968472889800005</v>
      </c>
      <c r="F18" s="10">
        <v>1.222374731305</v>
      </c>
      <c r="G18" s="10">
        <v>0.69973678616299995</v>
      </c>
      <c r="H18" s="10">
        <v>2.5138678395879999</v>
      </c>
      <c r="I18" s="10">
        <v>1.7888300388659999</v>
      </c>
      <c r="J18" s="10">
        <v>0.80443993515300005</v>
      </c>
      <c r="K18" s="10" t="s">
        <v>18</v>
      </c>
    </row>
    <row r="19" spans="1:11" x14ac:dyDescent="0.35">
      <c r="A19" s="10" t="s">
        <v>8</v>
      </c>
      <c r="B19">
        <v>2016</v>
      </c>
      <c r="C19">
        <v>0.38420251594299998</v>
      </c>
      <c r="D19">
        <v>0.36323307737799998</v>
      </c>
      <c r="E19">
        <v>0.20616328518499999</v>
      </c>
      <c r="F19">
        <v>0.95078921336800004</v>
      </c>
      <c r="G19">
        <v>0.38420251594299998</v>
      </c>
      <c r="H19">
        <v>0.44965158979199998</v>
      </c>
      <c r="I19">
        <v>0.92647012862</v>
      </c>
      <c r="J19">
        <v>0.54754014087500003</v>
      </c>
      <c r="K19" s="10" t="s">
        <v>18</v>
      </c>
    </row>
    <row r="20" spans="1:11" x14ac:dyDescent="0.35">
      <c r="A20" s="10" t="s">
        <v>3</v>
      </c>
      <c r="B20">
        <v>2017</v>
      </c>
      <c r="C20">
        <v>1.52616255802</v>
      </c>
      <c r="D20">
        <v>0.73950030240300002</v>
      </c>
      <c r="E20">
        <v>1.255769965299</v>
      </c>
      <c r="F20">
        <v>2.0806009646889998</v>
      </c>
      <c r="G20">
        <v>1.52616255802</v>
      </c>
      <c r="H20">
        <v>5.3942638626789998</v>
      </c>
      <c r="I20">
        <v>3.4302631043559999</v>
      </c>
      <c r="J20">
        <v>1.4149379043970001</v>
      </c>
      <c r="K20" s="10" t="s">
        <v>18</v>
      </c>
    </row>
    <row r="21" spans="1:11" x14ac:dyDescent="0.35">
      <c r="A21" s="10" t="s">
        <v>4</v>
      </c>
      <c r="B21">
        <v>2017</v>
      </c>
      <c r="C21">
        <v>5.3034855890269998</v>
      </c>
      <c r="D21">
        <v>1.5769169493870001</v>
      </c>
      <c r="E21">
        <v>6.0816131559870001</v>
      </c>
      <c r="F21">
        <v>4.7173187902880001</v>
      </c>
      <c r="G21">
        <v>5.3034855890269998</v>
      </c>
      <c r="H21">
        <v>25.785510034304</v>
      </c>
      <c r="I21">
        <v>8.2544042958620008</v>
      </c>
      <c r="J21">
        <v>3.0369617675099998</v>
      </c>
      <c r="K21" s="10" t="s">
        <v>18</v>
      </c>
    </row>
    <row r="22" spans="1:11" x14ac:dyDescent="0.35">
      <c r="A22" s="10" t="s">
        <v>5</v>
      </c>
      <c r="B22">
        <v>2017</v>
      </c>
      <c r="C22">
        <v>3.5668695518860001</v>
      </c>
      <c r="D22">
        <v>1.0458030909660001</v>
      </c>
      <c r="E22">
        <v>5.2874995058429999</v>
      </c>
      <c r="F22">
        <v>3.0098245126230001</v>
      </c>
      <c r="G22">
        <v>3.5668695518860001</v>
      </c>
      <c r="H22">
        <v>11.869246991574</v>
      </c>
      <c r="I22">
        <v>4.6851219613139996</v>
      </c>
      <c r="J22">
        <v>1.8862070471200001</v>
      </c>
      <c r="K22" s="10" t="s">
        <v>19</v>
      </c>
    </row>
    <row r="23" spans="1:11" x14ac:dyDescent="0.35">
      <c r="A23" s="10" t="s">
        <v>6</v>
      </c>
      <c r="B23">
        <v>2017</v>
      </c>
      <c r="C23">
        <v>0.36031852038399997</v>
      </c>
      <c r="D23">
        <v>0.30905939487599998</v>
      </c>
      <c r="E23">
        <v>0.30507611393200001</v>
      </c>
      <c r="F23">
        <v>0.83505121346199995</v>
      </c>
      <c r="G23">
        <v>0.36031852038399997</v>
      </c>
      <c r="H23">
        <v>0.93898819795699995</v>
      </c>
      <c r="I23">
        <v>0.86460950961600003</v>
      </c>
      <c r="J23">
        <v>0.478368872572</v>
      </c>
      <c r="K23" s="10" t="s">
        <v>18</v>
      </c>
    </row>
    <row r="24" spans="1:11" x14ac:dyDescent="0.35">
      <c r="A24" s="10" t="s">
        <v>7</v>
      </c>
      <c r="B24">
        <v>2017</v>
      </c>
      <c r="C24">
        <v>3.3758853386859999</v>
      </c>
      <c r="D24">
        <v>0.125376717093</v>
      </c>
      <c r="E24">
        <v>4.8776669045469996</v>
      </c>
      <c r="F24">
        <v>0.39987649934000002</v>
      </c>
      <c r="G24">
        <v>3.3758853386859999</v>
      </c>
      <c r="H24">
        <v>24.646055444150001</v>
      </c>
      <c r="I24">
        <v>0.49262446638500001</v>
      </c>
      <c r="J24">
        <v>0.200386379625</v>
      </c>
      <c r="K24" s="10" t="s">
        <v>19</v>
      </c>
    </row>
    <row r="25" spans="1:11" x14ac:dyDescent="0.35">
      <c r="A25" s="10" t="s">
        <v>9</v>
      </c>
      <c r="B25">
        <v>2017</v>
      </c>
      <c r="C25">
        <v>0.24992366973800001</v>
      </c>
      <c r="D25">
        <v>9.6085640264999994E-2</v>
      </c>
      <c r="E25">
        <v>0.23230893762499999</v>
      </c>
      <c r="F25">
        <v>0.28071080734100001</v>
      </c>
      <c r="G25">
        <v>0.24992366973800001</v>
      </c>
      <c r="H25">
        <v>0.83574193284800002</v>
      </c>
      <c r="I25">
        <v>0.53047910943700005</v>
      </c>
      <c r="J25">
        <v>0.198474027011</v>
      </c>
      <c r="K25" s="10" t="s">
        <v>18</v>
      </c>
    </row>
    <row r="26" spans="1:11" x14ac:dyDescent="0.35">
      <c r="A26" s="10" t="s">
        <v>8</v>
      </c>
      <c r="B26">
        <v>2017</v>
      </c>
      <c r="C26">
        <v>1.18158631396</v>
      </c>
      <c r="D26">
        <v>0.73113522662200003</v>
      </c>
      <c r="E26">
        <v>1.0773334736910001</v>
      </c>
      <c r="F26">
        <v>1.975971847921</v>
      </c>
      <c r="G26">
        <v>1.18158631396</v>
      </c>
      <c r="H26">
        <v>727.15794387163896</v>
      </c>
      <c r="I26">
        <v>2.4042588262279998</v>
      </c>
      <c r="J26">
        <v>1.1835555449999999</v>
      </c>
      <c r="K26" s="10" t="s">
        <v>18</v>
      </c>
    </row>
    <row r="27" spans="1:11" x14ac:dyDescent="0.35">
      <c r="A27" s="10" t="s">
        <v>3</v>
      </c>
      <c r="B27">
        <v>2018</v>
      </c>
      <c r="C27">
        <v>2.217995358529</v>
      </c>
      <c r="D27">
        <v>0.97934186547699997</v>
      </c>
      <c r="E27">
        <v>2.0106939063599998</v>
      </c>
      <c r="F27">
        <v>2.7846771182349999</v>
      </c>
      <c r="G27">
        <v>2.217995358529</v>
      </c>
      <c r="H27">
        <v>8.3033097604330006</v>
      </c>
      <c r="I27">
        <v>4.7963565178470002</v>
      </c>
      <c r="J27">
        <v>1.9021752245820001</v>
      </c>
      <c r="K27" s="10" t="s">
        <v>18</v>
      </c>
    </row>
    <row r="28" spans="1:11" x14ac:dyDescent="0.35">
      <c r="A28" s="10" t="s">
        <v>4</v>
      </c>
      <c r="B28">
        <v>2018</v>
      </c>
      <c r="C28">
        <v>5.2712592624269998</v>
      </c>
      <c r="D28">
        <v>1.3928569642069999</v>
      </c>
      <c r="E28">
        <v>6.0461418844179997</v>
      </c>
      <c r="F28">
        <v>4.1577782223569999</v>
      </c>
      <c r="G28">
        <v>5.2712592624269998</v>
      </c>
      <c r="H28">
        <v>27.532880450360999</v>
      </c>
      <c r="I28">
        <v>7.5019931487419997</v>
      </c>
      <c r="J28">
        <v>2.7027594438999998</v>
      </c>
      <c r="K28" s="10" t="s">
        <v>18</v>
      </c>
    </row>
    <row r="29" spans="1:11" x14ac:dyDescent="0.35">
      <c r="A29" s="10" t="s">
        <v>5</v>
      </c>
      <c r="B29">
        <v>2018</v>
      </c>
      <c r="C29">
        <v>3.7773891273250002</v>
      </c>
      <c r="D29">
        <v>1.1107497366000001</v>
      </c>
      <c r="E29">
        <v>5.4551311775059999</v>
      </c>
      <c r="F29">
        <v>3.2021826035109999</v>
      </c>
      <c r="G29">
        <v>3.7773891273250002</v>
      </c>
      <c r="H29">
        <v>13.108464138161001</v>
      </c>
      <c r="I29">
        <v>5.1587863978769999</v>
      </c>
      <c r="J29">
        <v>2.0351415028469999</v>
      </c>
      <c r="K29" s="10" t="s">
        <v>19</v>
      </c>
    </row>
    <row r="30" spans="1:11" x14ac:dyDescent="0.35">
      <c r="A30" s="10" t="s">
        <v>7</v>
      </c>
      <c r="B30">
        <v>2018</v>
      </c>
      <c r="C30">
        <v>3.5968286740200002</v>
      </c>
      <c r="D30">
        <v>0.128955285866</v>
      </c>
      <c r="E30">
        <v>5.2857745830800003</v>
      </c>
      <c r="F30">
        <v>0.414893025774</v>
      </c>
      <c r="G30">
        <v>3.5968286740200002</v>
      </c>
      <c r="H30">
        <v>27.011469240238998</v>
      </c>
      <c r="I30">
        <v>0.48754956160099999</v>
      </c>
      <c r="J30">
        <v>0.20238031079499999</v>
      </c>
      <c r="K30" s="10" t="s">
        <v>19</v>
      </c>
    </row>
    <row r="31" spans="1:11" x14ac:dyDescent="0.35">
      <c r="A31" s="10" t="s">
        <v>8</v>
      </c>
      <c r="B31">
        <v>2018</v>
      </c>
      <c r="C31">
        <v>0.41485199705600001</v>
      </c>
      <c r="D31">
        <v>0.406826018816</v>
      </c>
      <c r="E31">
        <v>0.208215754255</v>
      </c>
      <c r="F31">
        <v>1.048996385271</v>
      </c>
      <c r="G31">
        <v>0.41485199705600001</v>
      </c>
      <c r="H31">
        <v>0.68630581816500003</v>
      </c>
      <c r="I31">
        <v>0.94593643111699999</v>
      </c>
      <c r="J31">
        <v>0.59457605572500005</v>
      </c>
      <c r="K31" s="10" t="s">
        <v>18</v>
      </c>
    </row>
    <row r="32" spans="1:11" x14ac:dyDescent="0.35">
      <c r="A32" s="10" t="s">
        <v>3</v>
      </c>
      <c r="B32">
        <v>2019</v>
      </c>
      <c r="C32">
        <v>1.1599646391589999</v>
      </c>
      <c r="D32">
        <v>0.39759897380800002</v>
      </c>
      <c r="E32">
        <v>1.0381301561580001</v>
      </c>
      <c r="F32">
        <v>1.1693866599980001</v>
      </c>
      <c r="G32">
        <v>1.1599646391589999</v>
      </c>
      <c r="H32">
        <v>4.8345427386040001</v>
      </c>
      <c r="I32">
        <v>2.2999742255069999</v>
      </c>
      <c r="J32">
        <v>0.82848018601100004</v>
      </c>
      <c r="K32" s="10" t="s">
        <v>18</v>
      </c>
    </row>
    <row r="33" spans="1:11" x14ac:dyDescent="0.35">
      <c r="A33" s="10" t="s">
        <v>4</v>
      </c>
      <c r="B33">
        <v>2019</v>
      </c>
      <c r="C33">
        <v>4.8007355398430001</v>
      </c>
      <c r="D33">
        <v>1.1062900657100001</v>
      </c>
      <c r="E33">
        <v>5.5875508327350003</v>
      </c>
      <c r="F33">
        <v>3.3338029333480002</v>
      </c>
      <c r="G33">
        <v>4.8007355398430001</v>
      </c>
      <c r="H33">
        <v>27.509380606257</v>
      </c>
      <c r="I33">
        <v>6.4912510991310004</v>
      </c>
      <c r="J33">
        <v>2.239720649448</v>
      </c>
      <c r="K33" s="10" t="s">
        <v>18</v>
      </c>
    </row>
    <row r="34" spans="1:11" x14ac:dyDescent="0.35">
      <c r="A34" s="10" t="s">
        <v>5</v>
      </c>
      <c r="B34">
        <v>2019</v>
      </c>
      <c r="C34">
        <v>3.3570677624640002</v>
      </c>
      <c r="D34">
        <v>0.95046972484100001</v>
      </c>
      <c r="E34">
        <v>4.8405271050519998</v>
      </c>
      <c r="F34">
        <v>2.7299536252359999</v>
      </c>
      <c r="G34">
        <v>3.3570677624640002</v>
      </c>
      <c r="H34">
        <v>11.824535196838999</v>
      </c>
      <c r="I34">
        <v>4.3222702698340001</v>
      </c>
      <c r="J34">
        <v>1.7269384897240001</v>
      </c>
      <c r="K34" s="10" t="s">
        <v>19</v>
      </c>
    </row>
    <row r="35" spans="1:11" x14ac:dyDescent="0.35">
      <c r="A35" s="10" t="s">
        <v>7</v>
      </c>
      <c r="B35">
        <v>2019</v>
      </c>
      <c r="C35">
        <v>3.2121361767610002</v>
      </c>
      <c r="D35">
        <v>0.11869210261599999</v>
      </c>
      <c r="E35">
        <v>4.7382685233639998</v>
      </c>
      <c r="F35">
        <v>0.37881498413199999</v>
      </c>
      <c r="G35">
        <v>3.2121361767610002</v>
      </c>
      <c r="H35">
        <v>24.391579907609</v>
      </c>
      <c r="I35">
        <v>0.44340203253299998</v>
      </c>
      <c r="J35">
        <v>0.18577074043200001</v>
      </c>
      <c r="K35" s="10" t="s">
        <v>19</v>
      </c>
    </row>
    <row r="36" spans="1:11" x14ac:dyDescent="0.35">
      <c r="A36" s="10" t="s">
        <v>9</v>
      </c>
      <c r="B36">
        <v>2019</v>
      </c>
      <c r="C36">
        <v>0.22814944790899999</v>
      </c>
      <c r="D36">
        <v>0.119349296486</v>
      </c>
      <c r="E36">
        <v>0.23277628002299999</v>
      </c>
      <c r="F36">
        <v>0.348443335573</v>
      </c>
      <c r="G36">
        <v>0.22814944790899999</v>
      </c>
      <c r="H36">
        <v>0.88027848010300003</v>
      </c>
      <c r="I36">
        <v>0.65289911181000004</v>
      </c>
      <c r="J36">
        <v>0.24779565227700001</v>
      </c>
      <c r="K36" s="10" t="s">
        <v>18</v>
      </c>
    </row>
    <row r="37" spans="1:11" x14ac:dyDescent="0.35">
      <c r="A37" s="10" t="s">
        <v>8</v>
      </c>
      <c r="B37">
        <v>2019</v>
      </c>
      <c r="C37">
        <v>0.49219893702700002</v>
      </c>
      <c r="D37">
        <v>0.43446540089399999</v>
      </c>
      <c r="E37">
        <v>0.42786237912000002</v>
      </c>
      <c r="F37">
        <v>1.1483936323149999</v>
      </c>
      <c r="G37">
        <v>0.49219893702700002</v>
      </c>
      <c r="H37">
        <v>0.65578159807400005</v>
      </c>
      <c r="I37">
        <v>0.89490883568900004</v>
      </c>
      <c r="J37">
        <v>0.59404261792900004</v>
      </c>
      <c r="K37" s="10" t="s">
        <v>18</v>
      </c>
    </row>
    <row r="38" spans="1:11" x14ac:dyDescent="0.35">
      <c r="A38" s="10" t="s">
        <v>3</v>
      </c>
      <c r="B38">
        <v>2020</v>
      </c>
      <c r="C38">
        <v>1.3250588928360001</v>
      </c>
      <c r="D38">
        <v>0.42075720828399998</v>
      </c>
      <c r="E38">
        <v>1.2369574703390001</v>
      </c>
      <c r="F38">
        <v>1.25994881767</v>
      </c>
      <c r="G38">
        <v>1.3250588928360001</v>
      </c>
      <c r="H38">
        <v>5.9283066589780002</v>
      </c>
      <c r="I38">
        <v>2.6176337800459999</v>
      </c>
      <c r="J38">
        <v>0.90569403671899995</v>
      </c>
      <c r="K38" s="10" t="s">
        <v>18</v>
      </c>
    </row>
    <row r="39" spans="1:11" x14ac:dyDescent="0.35">
      <c r="A39" s="10" t="s">
        <v>4</v>
      </c>
      <c r="B39">
        <v>2020</v>
      </c>
      <c r="C39">
        <v>3.9396161650099999</v>
      </c>
      <c r="D39">
        <v>1.0145454276420001</v>
      </c>
      <c r="E39">
        <v>4.9335179134559999</v>
      </c>
      <c r="F39">
        <v>3.0376487440450002</v>
      </c>
      <c r="G39">
        <v>3.9396161650099999</v>
      </c>
      <c r="H39">
        <v>23.631201067107</v>
      </c>
      <c r="I39">
        <v>5.2774610432970004</v>
      </c>
      <c r="J39">
        <v>1.9429866938939999</v>
      </c>
      <c r="K39" s="10" t="s">
        <v>18</v>
      </c>
    </row>
    <row r="40" spans="1:11" x14ac:dyDescent="0.35">
      <c r="A40" s="10" t="s">
        <v>5</v>
      </c>
      <c r="B40">
        <v>2020</v>
      </c>
      <c r="C40">
        <v>2.982437666554</v>
      </c>
      <c r="D40">
        <v>0.87965501439399996</v>
      </c>
      <c r="E40">
        <v>4.4464579954990002</v>
      </c>
      <c r="F40">
        <v>2.5627884066119999</v>
      </c>
      <c r="G40">
        <v>2.982437666554</v>
      </c>
      <c r="H40">
        <v>11.203571016843</v>
      </c>
      <c r="I40">
        <v>4.1379878637000003</v>
      </c>
      <c r="J40">
        <v>1.6158105721880001</v>
      </c>
      <c r="K40" s="10" t="s">
        <v>19</v>
      </c>
    </row>
    <row r="41" spans="1:11" x14ac:dyDescent="0.35">
      <c r="A41" s="10" t="s">
        <v>7</v>
      </c>
      <c r="B41">
        <v>2020</v>
      </c>
      <c r="C41">
        <v>3.1589648975369999</v>
      </c>
      <c r="D41">
        <v>0.113952589344</v>
      </c>
      <c r="E41">
        <v>4.6200838633760002</v>
      </c>
      <c r="F41">
        <v>0.357733400757</v>
      </c>
      <c r="G41">
        <v>3.1589648975369999</v>
      </c>
      <c r="H41">
        <v>24.459352591251001</v>
      </c>
      <c r="I41">
        <v>0.43683027155100002</v>
      </c>
      <c r="J41">
        <v>0.17925735156299999</v>
      </c>
      <c r="K41" s="10" t="s">
        <v>19</v>
      </c>
    </row>
    <row r="42" spans="1:11" x14ac:dyDescent="0.35">
      <c r="A42" s="10" t="s">
        <v>8</v>
      </c>
      <c r="B42">
        <v>2020</v>
      </c>
      <c r="C42">
        <v>1.297453863426</v>
      </c>
      <c r="D42">
        <v>1.113176630194</v>
      </c>
      <c r="E42">
        <v>0.55232377522499998</v>
      </c>
      <c r="F42">
        <v>3.0693885510649999</v>
      </c>
      <c r="G42">
        <v>1.297453863426</v>
      </c>
      <c r="H42">
        <v>1.856286708357</v>
      </c>
      <c r="I42">
        <v>1.927263817951</v>
      </c>
      <c r="J42">
        <v>1.4163186666209999</v>
      </c>
      <c r="K42" s="10" t="s">
        <v>18</v>
      </c>
    </row>
    <row r="43" spans="1:11" x14ac:dyDescent="0.35">
      <c r="A43" s="10" t="s">
        <v>3</v>
      </c>
      <c r="B43">
        <v>2021</v>
      </c>
      <c r="C43">
        <v>1.778929132789</v>
      </c>
      <c r="D43">
        <v>0.76504712030900002</v>
      </c>
      <c r="E43">
        <v>1.589519247218</v>
      </c>
      <c r="F43">
        <v>2.2021128057500001</v>
      </c>
      <c r="G43">
        <v>1.778929132789</v>
      </c>
      <c r="H43">
        <v>7.969399849787</v>
      </c>
      <c r="I43">
        <v>3.9583730504979999</v>
      </c>
      <c r="J43">
        <v>1.5127922931819999</v>
      </c>
      <c r="K43" s="10" t="s">
        <v>18</v>
      </c>
    </row>
    <row r="44" spans="1:11" x14ac:dyDescent="0.35">
      <c r="A44" s="10" t="s">
        <v>4</v>
      </c>
      <c r="B44">
        <v>2021</v>
      </c>
      <c r="C44">
        <v>3.6900632697039999</v>
      </c>
      <c r="D44">
        <v>1.0431917998889999</v>
      </c>
      <c r="E44">
        <v>4.5201742607090001</v>
      </c>
      <c r="F44">
        <v>3.1182581922820001</v>
      </c>
      <c r="G44">
        <v>3.6900632697039999</v>
      </c>
      <c r="H44">
        <v>23</v>
      </c>
      <c r="I44">
        <v>5.1468125947000001</v>
      </c>
      <c r="J44">
        <v>1.9523432995450001</v>
      </c>
      <c r="K44" s="10" t="s">
        <v>18</v>
      </c>
    </row>
    <row r="45" spans="1:11" x14ac:dyDescent="0.35">
      <c r="A45" s="10" t="s">
        <v>5</v>
      </c>
      <c r="B45">
        <v>2021</v>
      </c>
      <c r="C45">
        <v>3.241799922137</v>
      </c>
      <c r="D45">
        <v>0.85560146110000002</v>
      </c>
      <c r="E45">
        <v>4.6561184477179998</v>
      </c>
      <c r="F45">
        <v>2.5037059723519999</v>
      </c>
      <c r="G45">
        <v>3.241799922137</v>
      </c>
      <c r="H45">
        <v>13.131120191768</v>
      </c>
      <c r="I45">
        <v>4.2990973325270003</v>
      </c>
      <c r="J45">
        <v>1.6225050111620001</v>
      </c>
      <c r="K45" s="10" t="s">
        <v>19</v>
      </c>
    </row>
    <row r="46" spans="1:11" x14ac:dyDescent="0.35">
      <c r="A46" s="10" t="s">
        <v>7</v>
      </c>
      <c r="B46">
        <v>2021</v>
      </c>
      <c r="C46">
        <v>2.7260912551679999</v>
      </c>
      <c r="D46">
        <v>7.9155875006000007E-2</v>
      </c>
      <c r="E46">
        <v>4.0488534386990001</v>
      </c>
      <c r="F46">
        <v>0.25659667950199999</v>
      </c>
      <c r="G46">
        <v>2.7260912551679999</v>
      </c>
      <c r="H46">
        <v>22</v>
      </c>
      <c r="I46">
        <v>0.31493669507599997</v>
      </c>
      <c r="J46">
        <v>0.12746346681599999</v>
      </c>
      <c r="K46" s="10" t="s">
        <v>19</v>
      </c>
    </row>
    <row r="47" spans="1:11" x14ac:dyDescent="0.35">
      <c r="A47" s="10" t="s">
        <v>8</v>
      </c>
      <c r="B47">
        <v>2021</v>
      </c>
      <c r="C47">
        <v>1.577961656294</v>
      </c>
      <c r="D47">
        <v>1.4214393393060001</v>
      </c>
      <c r="E47">
        <v>0.721118828263</v>
      </c>
      <c r="F47">
        <v>3.7671008192180002</v>
      </c>
      <c r="G47">
        <v>1.577961656294</v>
      </c>
      <c r="H47">
        <v>3.1380837676479998</v>
      </c>
      <c r="I47">
        <v>2.8771429454009998</v>
      </c>
      <c r="J47">
        <v>1.9448769748220001</v>
      </c>
      <c r="K47" s="10" t="s">
        <v>18</v>
      </c>
    </row>
    <row r="48" spans="1:11" x14ac:dyDescent="0.35">
      <c r="A48" s="10" t="s">
        <v>3</v>
      </c>
      <c r="B48">
        <v>2022</v>
      </c>
      <c r="C48">
        <v>0.80018184645199997</v>
      </c>
      <c r="D48">
        <v>0.293849973677</v>
      </c>
      <c r="E48">
        <v>0.78520030541300001</v>
      </c>
      <c r="F48">
        <v>0.86341659953100003</v>
      </c>
      <c r="G48">
        <v>0.80018184645199997</v>
      </c>
      <c r="H48">
        <v>4.2419714918810003</v>
      </c>
      <c r="I48">
        <v>1.7000788258249999</v>
      </c>
      <c r="J48">
        <v>0.60728313708500004</v>
      </c>
      <c r="K48" s="10" t="s">
        <v>18</v>
      </c>
    </row>
    <row r="49" spans="1:11" x14ac:dyDescent="0.35">
      <c r="A49" s="10" t="s">
        <v>4</v>
      </c>
      <c r="B49">
        <v>2022</v>
      </c>
      <c r="C49">
        <v>2.7644637571300001</v>
      </c>
      <c r="D49">
        <v>0.71808528298999996</v>
      </c>
      <c r="E49">
        <v>3.2264319820849998</v>
      </c>
      <c r="F49">
        <v>2.1174338326790001</v>
      </c>
      <c r="G49">
        <v>2.7644637571300001</v>
      </c>
      <c r="H49">
        <v>20.249192945466</v>
      </c>
      <c r="I49">
        <v>3.91029865434</v>
      </c>
      <c r="J49">
        <v>1.4330054177489999</v>
      </c>
      <c r="K49" s="10" t="s">
        <v>18</v>
      </c>
    </row>
    <row r="50" spans="1:11" x14ac:dyDescent="0.35">
      <c r="A50" s="10" t="s">
        <v>5</v>
      </c>
      <c r="B50">
        <v>2022</v>
      </c>
      <c r="C50">
        <v>3.3331212926370002</v>
      </c>
      <c r="D50">
        <v>0.81660426389399998</v>
      </c>
      <c r="E50">
        <v>4.7465118547580003</v>
      </c>
      <c r="F50">
        <v>2.4080655975759999</v>
      </c>
      <c r="G50">
        <v>3.3331212926370002</v>
      </c>
      <c r="H50">
        <v>16.636018336957001</v>
      </c>
      <c r="I50">
        <v>4.2988829803439996</v>
      </c>
      <c r="J50">
        <v>1.5782784053359999</v>
      </c>
      <c r="K50" s="10" t="s">
        <v>19</v>
      </c>
    </row>
    <row r="51" spans="1:11" x14ac:dyDescent="0.35">
      <c r="A51" s="10" t="s">
        <v>6</v>
      </c>
      <c r="B51">
        <v>2022</v>
      </c>
      <c r="C51">
        <v>0.28889822374099999</v>
      </c>
      <c r="D51">
        <v>0.28294872000400001</v>
      </c>
      <c r="E51">
        <v>0.116511924897</v>
      </c>
      <c r="F51">
        <v>0.75593612184699999</v>
      </c>
      <c r="G51">
        <v>0.28889822374099999</v>
      </c>
      <c r="H51">
        <v>2.0241363956359999</v>
      </c>
      <c r="I51">
        <v>0.93082689055000001</v>
      </c>
      <c r="J51">
        <v>0.48049012224600002</v>
      </c>
      <c r="K51" s="10" t="s">
        <v>18</v>
      </c>
    </row>
    <row r="52" spans="1:11" x14ac:dyDescent="0.35">
      <c r="A52" s="10" t="s">
        <v>7</v>
      </c>
      <c r="B52">
        <v>2022</v>
      </c>
      <c r="C52">
        <v>1.9754191808749999</v>
      </c>
      <c r="D52">
        <v>7.6315472435000004E-2</v>
      </c>
      <c r="E52">
        <v>3.088506815853</v>
      </c>
      <c r="F52">
        <v>0.249312777091</v>
      </c>
      <c r="G52">
        <v>1.9754191808749999</v>
      </c>
      <c r="H52">
        <v>17.231075580294998</v>
      </c>
      <c r="I52">
        <v>0.25238752870600001</v>
      </c>
      <c r="J52">
        <v>0.11295999023099999</v>
      </c>
      <c r="K52" s="10" t="s">
        <v>19</v>
      </c>
    </row>
    <row r="53" spans="1:11" x14ac:dyDescent="0.35">
      <c r="A53" s="10" t="s">
        <v>9</v>
      </c>
      <c r="B53">
        <v>2022</v>
      </c>
      <c r="C53">
        <v>0.402344931259</v>
      </c>
      <c r="D53">
        <v>0.21000189910799999</v>
      </c>
      <c r="E53">
        <v>0.31612611604200003</v>
      </c>
      <c r="F53">
        <v>0.59329108824800003</v>
      </c>
      <c r="G53">
        <v>0.402344931259</v>
      </c>
      <c r="H53">
        <v>2.1266826305730002</v>
      </c>
      <c r="I53">
        <v>0.99529623865299999</v>
      </c>
      <c r="J53">
        <v>0.40589748423599997</v>
      </c>
      <c r="K53" s="10" t="s">
        <v>18</v>
      </c>
    </row>
    <row r="54" spans="1:11" x14ac:dyDescent="0.35">
      <c r="A54" s="10" t="s">
        <v>8</v>
      </c>
      <c r="B54">
        <v>2022</v>
      </c>
      <c r="C54">
        <v>1.1250593031659999</v>
      </c>
      <c r="D54">
        <v>1.00499528371</v>
      </c>
      <c r="E54">
        <v>0.69803470418900004</v>
      </c>
      <c r="F54">
        <v>2.7737223151869999</v>
      </c>
      <c r="G54">
        <v>1.1250593031659999</v>
      </c>
      <c r="H54">
        <v>2.1151245011549999</v>
      </c>
      <c r="I54">
        <v>1.889082229657</v>
      </c>
      <c r="J54">
        <v>1.3191580107600001</v>
      </c>
      <c r="K54" s="10" t="s">
        <v>18</v>
      </c>
    </row>
    <row r="55" spans="1:11" x14ac:dyDescent="0.35">
      <c r="A55" s="10" t="s">
        <v>3</v>
      </c>
      <c r="B55">
        <v>2023</v>
      </c>
      <c r="C55">
        <v>0.94319354149800005</v>
      </c>
      <c r="D55">
        <v>0.56496799973900003</v>
      </c>
      <c r="E55">
        <v>0.85283258528999994</v>
      </c>
      <c r="F55">
        <v>1.576842262003</v>
      </c>
      <c r="G55">
        <v>0.94319354149800005</v>
      </c>
      <c r="H55">
        <v>4.4017110902379999</v>
      </c>
      <c r="I55">
        <v>2.4907903474380002</v>
      </c>
      <c r="J55">
        <v>1.064768213827</v>
      </c>
      <c r="K55" s="10" t="s">
        <v>18</v>
      </c>
    </row>
    <row r="56" spans="1:11" x14ac:dyDescent="0.35">
      <c r="A56" s="10" t="s">
        <v>4</v>
      </c>
      <c r="B56">
        <v>2023</v>
      </c>
      <c r="C56">
        <v>0.62987064492099998</v>
      </c>
      <c r="D56">
        <v>0.29601683597900003</v>
      </c>
      <c r="E56">
        <v>0.549050424147</v>
      </c>
      <c r="F56">
        <v>0.87743153656999995</v>
      </c>
      <c r="G56">
        <v>0.62987064492099998</v>
      </c>
      <c r="H56">
        <v>3.4801082824099998</v>
      </c>
      <c r="I56">
        <v>1.695246897628</v>
      </c>
      <c r="J56">
        <v>0.60733502404600004</v>
      </c>
      <c r="K56" s="10" t="s">
        <v>18</v>
      </c>
    </row>
    <row r="57" spans="1:11" x14ac:dyDescent="0.35">
      <c r="A57" s="10" t="s">
        <v>5</v>
      </c>
      <c r="B57">
        <v>2023</v>
      </c>
      <c r="C57">
        <v>3.5765879131879998</v>
      </c>
      <c r="D57">
        <v>1.057082895692</v>
      </c>
      <c r="E57">
        <v>5.0837479362450004</v>
      </c>
      <c r="F57">
        <v>3.0515131189670002</v>
      </c>
      <c r="G57">
        <v>3.5765879131879998</v>
      </c>
      <c r="H57">
        <v>19.706868532319</v>
      </c>
      <c r="I57">
        <v>4.8289252404000003</v>
      </c>
      <c r="J57">
        <v>1.9223637764849999</v>
      </c>
      <c r="K57" s="10" t="s">
        <v>19</v>
      </c>
    </row>
    <row r="58" spans="1:11" x14ac:dyDescent="0.35">
      <c r="A58" s="10" t="s">
        <v>6</v>
      </c>
      <c r="B58">
        <v>2023</v>
      </c>
      <c r="C58">
        <v>0.38470227427300002</v>
      </c>
      <c r="D58">
        <v>0.105785255979</v>
      </c>
      <c r="E58">
        <v>0.36932982924500002</v>
      </c>
      <c r="F58">
        <v>0.33400675936200003</v>
      </c>
      <c r="G58">
        <v>0.38470227427300002</v>
      </c>
      <c r="H58">
        <v>2.1737759515559998</v>
      </c>
      <c r="I58">
        <v>0.82296795584899995</v>
      </c>
      <c r="J58">
        <v>0.247557097098</v>
      </c>
      <c r="K58" s="10" t="s">
        <v>18</v>
      </c>
    </row>
    <row r="59" spans="1:11" x14ac:dyDescent="0.35">
      <c r="A59" s="10" t="s">
        <v>7</v>
      </c>
      <c r="B59">
        <v>2023</v>
      </c>
      <c r="C59">
        <v>0.19994705277399999</v>
      </c>
      <c r="D59">
        <v>1.2286756772E-2</v>
      </c>
      <c r="E59">
        <v>0.34596368904300001</v>
      </c>
      <c r="F59">
        <v>4.1890141895000003E-2</v>
      </c>
      <c r="G59">
        <v>0.19994705277399999</v>
      </c>
      <c r="H59">
        <v>1.124485636438</v>
      </c>
      <c r="I59">
        <v>2.4998247772999999E-2</v>
      </c>
      <c r="J59">
        <v>1.5056659227E-2</v>
      </c>
      <c r="K59" s="10" t="s">
        <v>19</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topLeftCell="E1" workbookViewId="0">
      <selection activeCell="L4" sqref="L4"/>
    </sheetView>
  </sheetViews>
  <sheetFormatPr defaultRowHeight="14.5" x14ac:dyDescent="0.35"/>
  <cols>
    <col min="1" max="1" width="25.26953125" bestFit="1" customWidth="1"/>
    <col min="2" max="2" width="22.26953125" bestFit="1" customWidth="1"/>
    <col min="3" max="3" width="22" bestFit="1" customWidth="1"/>
    <col min="5" max="5" width="25.26953125" bestFit="1" customWidth="1"/>
    <col min="6" max="6" width="21.36328125" bestFit="1" customWidth="1"/>
    <col min="7" max="7" width="15.1796875" bestFit="1" customWidth="1"/>
    <col min="8" max="8" width="17" bestFit="1" customWidth="1"/>
  </cols>
  <sheetData>
    <row r="1" spans="1:14" x14ac:dyDescent="0.35">
      <c r="A1" s="11" t="s">
        <v>28</v>
      </c>
      <c r="B1" t="s">
        <v>30</v>
      </c>
      <c r="E1" s="11" t="s">
        <v>28</v>
      </c>
      <c r="F1" t="s">
        <v>31</v>
      </c>
      <c r="G1" t="s">
        <v>32</v>
      </c>
      <c r="H1" t="s">
        <v>33</v>
      </c>
      <c r="J1" t="s">
        <v>38</v>
      </c>
      <c r="L1" t="s">
        <v>39</v>
      </c>
      <c r="N1" t="s">
        <v>40</v>
      </c>
    </row>
    <row r="2" spans="1:14" x14ac:dyDescent="0.35">
      <c r="A2" s="12" t="s">
        <v>3</v>
      </c>
      <c r="B2" s="10">
        <v>16.182798707993999</v>
      </c>
      <c r="C2" s="10"/>
      <c r="E2" s="12" t="s">
        <v>3</v>
      </c>
      <c r="F2" s="10">
        <v>7.6532378081459997</v>
      </c>
      <c r="G2" s="10">
        <v>14.003008091825</v>
      </c>
      <c r="H2" s="10">
        <v>21.574297358670005</v>
      </c>
      <c r="J2" s="1">
        <v>0.20909915002844401</v>
      </c>
      <c r="L2" s="1">
        <v>0.212421721263546</v>
      </c>
      <c r="N2" s="1">
        <v>0.23892922611058301</v>
      </c>
    </row>
    <row r="3" spans="1:14" x14ac:dyDescent="0.35">
      <c r="A3" s="12" t="s">
        <v>4</v>
      </c>
      <c r="B3" s="10">
        <v>41.846721262986001</v>
      </c>
      <c r="C3" s="10"/>
      <c r="E3" s="12" t="s">
        <v>4</v>
      </c>
      <c r="F3" s="10">
        <v>11.791605261009998</v>
      </c>
      <c r="G3" s="10">
        <v>47.558962566043988</v>
      </c>
      <c r="H3" s="10">
        <v>35.119439539817002</v>
      </c>
      <c r="J3" s="13">
        <v>0.20909915002844401</v>
      </c>
    </row>
    <row r="4" spans="1:14" x14ac:dyDescent="0.35">
      <c r="A4" s="12" t="s">
        <v>5</v>
      </c>
      <c r="B4" s="10">
        <v>35.538081788414999</v>
      </c>
      <c r="C4" s="10"/>
      <c r="E4" s="12" t="s">
        <v>5</v>
      </c>
      <c r="F4" s="10">
        <v>10.569447416704</v>
      </c>
      <c r="G4" s="10">
        <v>51.679882016093003</v>
      </c>
      <c r="H4" s="10">
        <v>30.442256162798998</v>
      </c>
    </row>
    <row r="5" spans="1:14" x14ac:dyDescent="0.35">
      <c r="A5" s="12" t="s">
        <v>6</v>
      </c>
      <c r="B5" s="10">
        <v>1.5803696267009999</v>
      </c>
      <c r="C5" s="10"/>
      <c r="E5" s="12" t="s">
        <v>6</v>
      </c>
      <c r="F5" s="10">
        <v>1.170094354095</v>
      </c>
      <c r="G5" s="10">
        <v>1.1827258558790001</v>
      </c>
      <c r="H5" s="10">
        <v>3.2060242559299996</v>
      </c>
    </row>
    <row r="6" spans="1:14" x14ac:dyDescent="0.35">
      <c r="A6" s="12" t="s">
        <v>7</v>
      </c>
      <c r="B6" s="10">
        <v>28.339508611977003</v>
      </c>
      <c r="C6" s="10"/>
      <c r="E6" s="12" t="s">
        <v>7</v>
      </c>
      <c r="F6" s="10">
        <v>1.100789339069</v>
      </c>
      <c r="G6" s="10">
        <v>41.802867827754007</v>
      </c>
      <c r="H6" s="10">
        <v>3.5074605738670006</v>
      </c>
    </row>
    <row r="7" spans="1:14" x14ac:dyDescent="0.35">
      <c r="A7" s="12" t="s">
        <v>9</v>
      </c>
      <c r="B7" s="10">
        <v>1.580154835069</v>
      </c>
      <c r="C7" s="10"/>
      <c r="E7" s="12" t="s">
        <v>9</v>
      </c>
      <c r="F7" s="10">
        <v>0.87168081345100012</v>
      </c>
      <c r="G7" s="10">
        <v>1.3708960625880002</v>
      </c>
      <c r="H7" s="10">
        <v>2.4448199624670002</v>
      </c>
    </row>
    <row r="8" spans="1:14" x14ac:dyDescent="0.35">
      <c r="A8" s="12" t="s">
        <v>8</v>
      </c>
      <c r="B8" s="10">
        <v>12.091620425120999</v>
      </c>
      <c r="C8" s="10"/>
      <c r="E8" s="12" t="s">
        <v>8</v>
      </c>
      <c r="F8" s="10">
        <v>10.207168653312001</v>
      </c>
      <c r="G8" s="10">
        <v>7.4985736502720002</v>
      </c>
      <c r="H8" s="10">
        <v>27.549481136230003</v>
      </c>
    </row>
    <row r="9" spans="1:14" x14ac:dyDescent="0.35">
      <c r="A9" s="12" t="s">
        <v>29</v>
      </c>
      <c r="B9" s="10">
        <v>137.15925525826302</v>
      </c>
      <c r="C9" s="10"/>
      <c r="E9" s="12" t="s">
        <v>29</v>
      </c>
      <c r="F9" s="10">
        <v>43.364023645787</v>
      </c>
      <c r="G9" s="10">
        <v>165.09691607045499</v>
      </c>
      <c r="H9" s="10">
        <v>123.84377898978001</v>
      </c>
    </row>
    <row r="11" spans="1:14" x14ac:dyDescent="0.35">
      <c r="A11" s="11" t="s">
        <v>28</v>
      </c>
      <c r="B11" t="s">
        <v>34</v>
      </c>
      <c r="C11" t="s">
        <v>35</v>
      </c>
      <c r="E11" s="11" t="s">
        <v>28</v>
      </c>
      <c r="F11" t="s">
        <v>36</v>
      </c>
      <c r="G11" t="s">
        <v>37</v>
      </c>
    </row>
    <row r="12" spans="1:14" x14ac:dyDescent="0.35">
      <c r="A12" s="12" t="s">
        <v>3</v>
      </c>
      <c r="B12" s="10">
        <v>16.182798707993999</v>
      </c>
      <c r="C12" s="10">
        <v>61.632236399983007</v>
      </c>
      <c r="E12" s="12" t="s">
        <v>3</v>
      </c>
      <c r="F12" s="10">
        <v>35.725487071905</v>
      </c>
      <c r="G12" s="10">
        <v>14.529774456463999</v>
      </c>
    </row>
    <row r="13" spans="1:14" x14ac:dyDescent="0.35">
      <c r="A13" s="12" t="s">
        <v>4</v>
      </c>
      <c r="B13" s="10">
        <v>41.846721262986001</v>
      </c>
      <c r="C13" s="10">
        <v>223.74894853681596</v>
      </c>
      <c r="E13" s="12" t="s">
        <v>4</v>
      </c>
      <c r="F13" s="10">
        <v>63.179852486965011</v>
      </c>
      <c r="G13" s="10">
        <v>22.991690729934003</v>
      </c>
    </row>
    <row r="14" spans="1:14" x14ac:dyDescent="0.35">
      <c r="A14" s="12" t="s">
        <v>5</v>
      </c>
      <c r="B14" s="10">
        <v>35.538081788414999</v>
      </c>
      <c r="C14" s="10">
        <v>132.92645386782101</v>
      </c>
      <c r="E14" s="12" t="s">
        <v>5</v>
      </c>
      <c r="F14" s="10">
        <v>48.426576150562994</v>
      </c>
      <c r="G14" s="10">
        <v>19.275119281556002</v>
      </c>
    </row>
    <row r="15" spans="1:14" x14ac:dyDescent="0.35">
      <c r="A15" s="12" t="s">
        <v>6</v>
      </c>
      <c r="B15" s="10">
        <v>1.5803696267009999</v>
      </c>
      <c r="C15" s="10">
        <v>5.838019596301999</v>
      </c>
      <c r="E15" s="12" t="s">
        <v>6</v>
      </c>
      <c r="F15" s="10">
        <v>4.2577439315819996</v>
      </c>
      <c r="G15" s="10">
        <v>2.001204711248</v>
      </c>
    </row>
    <row r="16" spans="1:14" x14ac:dyDescent="0.35">
      <c r="A16" s="12" t="s">
        <v>7</v>
      </c>
      <c r="B16" s="10">
        <v>28.339508611977003</v>
      </c>
      <c r="C16" s="10">
        <v>212.51122842129701</v>
      </c>
      <c r="E16" s="12" t="s">
        <v>7</v>
      </c>
      <c r="F16" s="10">
        <v>4.2325861986569997</v>
      </c>
      <c r="G16" s="10">
        <v>1.7438698468129998</v>
      </c>
    </row>
    <row r="17" spans="1:7" x14ac:dyDescent="0.35">
      <c r="A17" s="12" t="s">
        <v>9</v>
      </c>
      <c r="B17" s="10">
        <v>1.580154835069</v>
      </c>
      <c r="C17" s="10">
        <v>6.3565708831119991</v>
      </c>
      <c r="E17" s="12" t="s">
        <v>9</v>
      </c>
      <c r="F17" s="10">
        <v>3.967504498766</v>
      </c>
      <c r="G17" s="10">
        <v>1.6566070986769998</v>
      </c>
    </row>
    <row r="18" spans="1:7" x14ac:dyDescent="0.35">
      <c r="A18" s="12" t="s">
        <v>8</v>
      </c>
      <c r="B18" s="10">
        <v>12.091620425120999</v>
      </c>
      <c r="C18" s="10">
        <v>745.18077015922393</v>
      </c>
      <c r="E18" s="12" t="s">
        <v>8</v>
      </c>
      <c r="F18" s="10">
        <v>22.536251256671999</v>
      </c>
      <c r="G18" s="10">
        <v>14.262020505960002</v>
      </c>
    </row>
    <row r="19" spans="1:7" x14ac:dyDescent="0.35">
      <c r="A19" s="12" t="s">
        <v>29</v>
      </c>
      <c r="B19" s="10">
        <v>137.15925525826302</v>
      </c>
      <c r="C19" s="10">
        <v>1388.1942278645547</v>
      </c>
      <c r="E19" s="12" t="s">
        <v>29</v>
      </c>
      <c r="F19" s="10">
        <v>182.32600159511003</v>
      </c>
      <c r="G19" s="10">
        <v>76.460286630652007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2"/>
  <sheetViews>
    <sheetView showGridLines="0" tabSelected="1" topLeftCell="C2" zoomScale="74" zoomScaleNormal="74" workbookViewId="0">
      <selection activeCell="AA20" sqref="AA20"/>
    </sheetView>
  </sheetViews>
  <sheetFormatPr defaultRowHeight="14.5" x14ac:dyDescent="0.35"/>
  <sheetData>
    <row r="2" spans="6:6" ht="33.5" x14ac:dyDescent="0.75">
      <c r="F2" s="14" t="s">
        <v>41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F0766D-E6AE-4A2E-BF31-386F4F8872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pip_spr</vt: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 LAPTOP</dc:creator>
  <cp:lastModifiedBy>yossioppo28@gmail.com</cp:lastModifiedBy>
  <dcterms:created xsi:type="dcterms:W3CDTF">2025-12-15T06:03:09Z</dcterms:created>
  <dcterms:modified xsi:type="dcterms:W3CDTF">2025-12-16T16:45:59Z</dcterms:modified>
</cp:coreProperties>
</file>